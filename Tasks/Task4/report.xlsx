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zhuoyangmeng/Desktop/4.美林时钟理论验证/"/>
    </mc:Choice>
  </mc:AlternateContent>
  <xr:revisionPtr revIDLastSave="0" documentId="13_ncr:1_{F201CEC7-0255-2A48-83BD-A1A46B4686DC}" xr6:coauthVersionLast="47" xr6:coauthVersionMax="47" xr10:uidLastSave="{00000000-0000-0000-0000-000000000000}"/>
  <bookViews>
    <workbookView xWindow="0" yWindow="500" windowWidth="14980" windowHeight="16180" tabRatio="842" xr2:uid="{00000000-000D-0000-FFFF-FFFF00000000}"/>
  </bookViews>
  <sheets>
    <sheet name="决策框架(修正版)" sheetId="1" r:id="rId1"/>
    <sheet name="策略指标" sheetId="4" r:id="rId2"/>
    <sheet name="计量检验(F TEST)" sheetId="6" r:id="rId3"/>
    <sheet name="计量检验(T TEST)" sheetId="7" r:id="rId4"/>
  </sheets>
  <externalReferences>
    <externalReference r:id="rId5"/>
    <externalReference r:id="rId6"/>
    <externalReference r:id="rId7"/>
  </externalReferences>
  <definedNames>
    <definedName name="_xlnm._FilterDatabase" localSheetId="0" hidden="1">'决策框架(修正版)'!$A$3:$AB$229</definedName>
    <definedName name="M2同比" localSheetId="1">OFFSET([1]决策框架!$R$3,1,,COUNTA([1]决策框架!$R:$R))</definedName>
    <definedName name="M2同比">OFFSET('决策框架(修正版)'!$G$3,1,,COUNTA('决策框架(修正版)'!$G:$G))</definedName>
    <definedName name="MLF利率1年期" localSheetId="1">OFFSET([1]决策框架!$K$3,1,,COUNTA([1]决策框架!$J:$J))</definedName>
    <definedName name="MLF利率1年期">OFFSET('决策框架(修正版)'!#REF!,1,,COUNTA('决策框架(修正版)'!#REF!))</definedName>
    <definedName name="国债到期收益率1年期" localSheetId="1">OFFSET([1]决策框架!$O$3,1,,COUNTA([1]决策框架!$O:$O))</definedName>
    <definedName name="国债到期收益率1年期">OFFSET('决策框架(修正版)'!#REF!,1,,COUNTA('决策框架(修正版)'!#REF!))</definedName>
    <definedName name="央票发行利率1年" localSheetId="1">OFFSET([1]决策框架!$N$3,1,,COUNTA([1]决策框架!$K:$K))</definedName>
    <definedName name="央票发行利率1年">OFFSET('决策框架(修正版)'!#REF!,1,,COUNTA('决策框架(修正版)'!#REF!))</definedName>
    <definedName name="月" localSheetId="1">OFFSET([1]决策框架!$A$3,1,,COUNTA([1]决策框架!$A:$A)-1)</definedName>
    <definedName name="月">OFFSET('决策框架(修正版)'!$A$3,1,,COUNTA('决策框架(修正版)'!$A:$A)-1)</definedName>
    <definedName name="社融当年累计存量同比" localSheetId="1">OFFSET([1]决策框架!$T$3,1,,COUNTA([1]决策框架!$T:$T))</definedName>
    <definedName name="社融当年累计存量同比">OFFSET('决策框架(修正版)'!$I$3,1,,COUNTA('决策框架(修正版)'!$I:$I))</definedName>
    <definedName name="社融当月增量" localSheetId="1">OFFSET([1]决策框架!$S$3,1,,COUNTA([1]决策框架!$S:$S))</definedName>
    <definedName name="社融当月增量">OFFSET('决策框架(修正版)'!$H$3,1,,COUNTA('决策框架(修正版)'!$H:$H))</definedName>
    <definedName name="逆回购7日回购利率" localSheetId="1">OFFSET([1]决策框架!$I$3,1,,COUNTA([1]决策框架!$I:$I))</definedName>
    <definedName name="逆回购7日回购利率">OFFSET('决策框架(修正版)'!#REF!,1,,COUNTA('决策框架(修正版)'!#REF!))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8" i="4" l="1"/>
  <c r="H25" i="4" l="1"/>
  <c r="F7" i="4"/>
  <c r="F6" i="4"/>
  <c r="F5" i="4"/>
  <c r="F4" i="4"/>
  <c r="D7" i="4"/>
  <c r="D4" i="4"/>
  <c r="D6" i="4"/>
  <c r="D5" i="4"/>
  <c r="H27" i="4"/>
  <c r="H26" i="4"/>
  <c r="H24" i="4"/>
  <c r="L229" i="1"/>
  <c r="M229" i="1" s="1"/>
  <c r="C229" i="1"/>
  <c r="B229" i="1"/>
  <c r="D229" i="1" s="1"/>
  <c r="L228" i="1"/>
  <c r="M228" i="1" s="1"/>
  <c r="C228" i="1"/>
  <c r="B228" i="1"/>
  <c r="D228" i="1" s="1"/>
  <c r="L227" i="1"/>
  <c r="M227" i="1" s="1"/>
  <c r="C227" i="1"/>
  <c r="B227" i="1"/>
  <c r="D227" i="1" s="1"/>
  <c r="H227" i="1" s="1"/>
  <c r="L226" i="1"/>
  <c r="M226" i="1" s="1"/>
  <c r="C226" i="1"/>
  <c r="B226" i="1"/>
  <c r="D226" i="1" s="1"/>
  <c r="M225" i="1"/>
  <c r="L225" i="1"/>
  <c r="D225" i="1"/>
  <c r="C225" i="1"/>
  <c r="B225" i="1"/>
  <c r="L224" i="1"/>
  <c r="M224" i="1" s="1"/>
  <c r="C224" i="1"/>
  <c r="B224" i="1"/>
  <c r="D224" i="1" s="1"/>
  <c r="L223" i="1"/>
  <c r="M223" i="1" s="1"/>
  <c r="H223" i="1"/>
  <c r="C223" i="1"/>
  <c r="B223" i="1"/>
  <c r="D223" i="1" s="1"/>
  <c r="G223" i="1" s="1"/>
  <c r="M222" i="1"/>
  <c r="L222" i="1"/>
  <c r="C222" i="1"/>
  <c r="B222" i="1"/>
  <c r="D222" i="1" s="1"/>
  <c r="H222" i="1" s="1"/>
  <c r="L221" i="1"/>
  <c r="M221" i="1" s="1"/>
  <c r="G221" i="1"/>
  <c r="D221" i="1"/>
  <c r="H221" i="1" s="1"/>
  <c r="C221" i="1"/>
  <c r="B221" i="1"/>
  <c r="L220" i="1"/>
  <c r="M220" i="1" s="1"/>
  <c r="C220" i="1"/>
  <c r="D220" i="1" s="1"/>
  <c r="B220" i="1"/>
  <c r="L219" i="1"/>
  <c r="M219" i="1" s="1"/>
  <c r="C219" i="1"/>
  <c r="B219" i="1"/>
  <c r="D219" i="1" s="1"/>
  <c r="H219" i="1" s="1"/>
  <c r="M218" i="1"/>
  <c r="L218" i="1"/>
  <c r="G218" i="1"/>
  <c r="D218" i="1"/>
  <c r="H218" i="1" s="1"/>
  <c r="C218" i="1"/>
  <c r="B218" i="1"/>
  <c r="L217" i="1"/>
  <c r="M217" i="1" s="1"/>
  <c r="C217" i="1"/>
  <c r="D217" i="1" s="1"/>
  <c r="B217" i="1"/>
  <c r="M216" i="1"/>
  <c r="L216" i="1"/>
  <c r="C216" i="1"/>
  <c r="B216" i="1"/>
  <c r="D216" i="1" s="1"/>
  <c r="G216" i="1" s="1"/>
  <c r="L215" i="1"/>
  <c r="M215" i="1" s="1"/>
  <c r="H215" i="1"/>
  <c r="G215" i="1"/>
  <c r="C215" i="1"/>
  <c r="B215" i="1"/>
  <c r="D215" i="1" s="1"/>
  <c r="M214" i="1"/>
  <c r="L214" i="1"/>
  <c r="H214" i="1"/>
  <c r="D214" i="1"/>
  <c r="G214" i="1" s="1"/>
  <c r="C214" i="1"/>
  <c r="B214" i="1"/>
  <c r="L213" i="1"/>
  <c r="M213" i="1" s="1"/>
  <c r="D213" i="1"/>
  <c r="C213" i="1"/>
  <c r="B213" i="1"/>
  <c r="L212" i="1"/>
  <c r="M212" i="1" s="1"/>
  <c r="C212" i="1"/>
  <c r="B212" i="1"/>
  <c r="D212" i="1" s="1"/>
  <c r="L211" i="1"/>
  <c r="M211" i="1" s="1"/>
  <c r="C211" i="1"/>
  <c r="B211" i="1"/>
  <c r="M210" i="1"/>
  <c r="L210" i="1"/>
  <c r="D210" i="1"/>
  <c r="C210" i="1"/>
  <c r="B210" i="1"/>
  <c r="M209" i="1"/>
  <c r="L209" i="1"/>
  <c r="C209" i="1"/>
  <c r="D209" i="1" s="1"/>
  <c r="B209" i="1"/>
  <c r="M208" i="1"/>
  <c r="L208" i="1"/>
  <c r="C208" i="1"/>
  <c r="B208" i="1"/>
  <c r="L207" i="1"/>
  <c r="M207" i="1" s="1"/>
  <c r="H207" i="1"/>
  <c r="G207" i="1"/>
  <c r="C207" i="1"/>
  <c r="B207" i="1"/>
  <c r="D207" i="1" s="1"/>
  <c r="M206" i="1"/>
  <c r="L206" i="1"/>
  <c r="H206" i="1"/>
  <c r="D206" i="1"/>
  <c r="G206" i="1" s="1"/>
  <c r="C206" i="1"/>
  <c r="B206" i="1"/>
  <c r="L205" i="1"/>
  <c r="M205" i="1" s="1"/>
  <c r="D205" i="1"/>
  <c r="H205" i="1" s="1"/>
  <c r="C205" i="1"/>
  <c r="B205" i="1"/>
  <c r="L204" i="1"/>
  <c r="M204" i="1" s="1"/>
  <c r="C204" i="1"/>
  <c r="B204" i="1"/>
  <c r="D204" i="1" s="1"/>
  <c r="G204" i="1" s="1"/>
  <c r="L203" i="1"/>
  <c r="M203" i="1" s="1"/>
  <c r="C203" i="1"/>
  <c r="B203" i="1"/>
  <c r="D203" i="1" s="1"/>
  <c r="M202" i="1"/>
  <c r="L202" i="1"/>
  <c r="G202" i="1"/>
  <c r="D202" i="1"/>
  <c r="H202" i="1" s="1"/>
  <c r="C202" i="1"/>
  <c r="B202" i="1"/>
  <c r="L201" i="1"/>
  <c r="M201" i="1" s="1"/>
  <c r="C201" i="1"/>
  <c r="D201" i="1" s="1"/>
  <c r="B201" i="1"/>
  <c r="M200" i="1"/>
  <c r="L200" i="1"/>
  <c r="C200" i="1"/>
  <c r="B200" i="1"/>
  <c r="D200" i="1" s="1"/>
  <c r="L199" i="1"/>
  <c r="M199" i="1" s="1"/>
  <c r="H199" i="1"/>
  <c r="G199" i="1"/>
  <c r="C199" i="1"/>
  <c r="B199" i="1"/>
  <c r="D199" i="1" s="1"/>
  <c r="M198" i="1"/>
  <c r="L198" i="1"/>
  <c r="H198" i="1"/>
  <c r="D198" i="1"/>
  <c r="G198" i="1" s="1"/>
  <c r="C198" i="1"/>
  <c r="B198" i="1"/>
  <c r="L197" i="1"/>
  <c r="M197" i="1" s="1"/>
  <c r="D197" i="1"/>
  <c r="C197" i="1"/>
  <c r="B197" i="1"/>
  <c r="L196" i="1"/>
  <c r="M196" i="1" s="1"/>
  <c r="C196" i="1"/>
  <c r="B196" i="1"/>
  <c r="D196" i="1" s="1"/>
  <c r="G196" i="1" s="1"/>
  <c r="L195" i="1"/>
  <c r="M195" i="1" s="1"/>
  <c r="C195" i="1"/>
  <c r="B195" i="1"/>
  <c r="M194" i="1"/>
  <c r="L194" i="1"/>
  <c r="D194" i="1"/>
  <c r="C194" i="1"/>
  <c r="B194" i="1"/>
  <c r="L193" i="1"/>
  <c r="M193" i="1" s="1"/>
  <c r="C193" i="1"/>
  <c r="D193" i="1" s="1"/>
  <c r="B193" i="1"/>
  <c r="M192" i="1"/>
  <c r="L192" i="1"/>
  <c r="C192" i="1"/>
  <c r="B192" i="1"/>
  <c r="D192" i="1" s="1"/>
  <c r="L191" i="1"/>
  <c r="M191" i="1" s="1"/>
  <c r="H191" i="1"/>
  <c r="G191" i="1"/>
  <c r="C191" i="1"/>
  <c r="B191" i="1"/>
  <c r="D191" i="1" s="1"/>
  <c r="M190" i="1"/>
  <c r="L190" i="1"/>
  <c r="H190" i="1"/>
  <c r="D190" i="1"/>
  <c r="G190" i="1" s="1"/>
  <c r="C190" i="1"/>
  <c r="B190" i="1"/>
  <c r="L189" i="1"/>
  <c r="M189" i="1" s="1"/>
  <c r="G189" i="1"/>
  <c r="D189" i="1"/>
  <c r="H189" i="1" s="1"/>
  <c r="C189" i="1"/>
  <c r="B189" i="1"/>
  <c r="L188" i="1"/>
  <c r="M188" i="1" s="1"/>
  <c r="H188" i="1"/>
  <c r="C188" i="1"/>
  <c r="B188" i="1"/>
  <c r="D188" i="1" s="1"/>
  <c r="G188" i="1" s="1"/>
  <c r="L187" i="1"/>
  <c r="M187" i="1" s="1"/>
  <c r="C187" i="1"/>
  <c r="B187" i="1"/>
  <c r="D187" i="1" s="1"/>
  <c r="M186" i="1"/>
  <c r="L186" i="1"/>
  <c r="G186" i="1"/>
  <c r="D186" i="1"/>
  <c r="H186" i="1" s="1"/>
  <c r="C186" i="1"/>
  <c r="B186" i="1"/>
  <c r="L185" i="1"/>
  <c r="M185" i="1" s="1"/>
  <c r="C185" i="1"/>
  <c r="D185" i="1" s="1"/>
  <c r="B185" i="1"/>
  <c r="M184" i="1"/>
  <c r="L184" i="1"/>
  <c r="C184" i="1"/>
  <c r="B184" i="1"/>
  <c r="D184" i="1" s="1"/>
  <c r="L183" i="1"/>
  <c r="M183" i="1" s="1"/>
  <c r="H183" i="1"/>
  <c r="G183" i="1"/>
  <c r="C183" i="1"/>
  <c r="B183" i="1"/>
  <c r="D183" i="1" s="1"/>
  <c r="M182" i="1"/>
  <c r="L182" i="1"/>
  <c r="H182" i="1"/>
  <c r="D182" i="1"/>
  <c r="G182" i="1" s="1"/>
  <c r="C182" i="1"/>
  <c r="B182" i="1"/>
  <c r="L181" i="1"/>
  <c r="M181" i="1" s="1"/>
  <c r="D181" i="1"/>
  <c r="C181" i="1"/>
  <c r="B181" i="1"/>
  <c r="L180" i="1"/>
  <c r="M180" i="1" s="1"/>
  <c r="H180" i="1"/>
  <c r="C180" i="1"/>
  <c r="B180" i="1"/>
  <c r="D180" i="1" s="1"/>
  <c r="G180" i="1" s="1"/>
  <c r="L179" i="1"/>
  <c r="M179" i="1" s="1"/>
  <c r="C179" i="1"/>
  <c r="B179" i="1"/>
  <c r="D179" i="1" s="1"/>
  <c r="M178" i="1"/>
  <c r="L178" i="1"/>
  <c r="D178" i="1"/>
  <c r="C178" i="1"/>
  <c r="B178" i="1"/>
  <c r="M177" i="1"/>
  <c r="L177" i="1"/>
  <c r="C177" i="1"/>
  <c r="D177" i="1" s="1"/>
  <c r="B177" i="1"/>
  <c r="M176" i="1"/>
  <c r="L176" i="1"/>
  <c r="C176" i="1"/>
  <c r="B176" i="1"/>
  <c r="L175" i="1"/>
  <c r="M175" i="1" s="1"/>
  <c r="H175" i="1"/>
  <c r="G175" i="1"/>
  <c r="C175" i="1"/>
  <c r="B175" i="1"/>
  <c r="D175" i="1" s="1"/>
  <c r="M174" i="1"/>
  <c r="L174" i="1"/>
  <c r="H174" i="1"/>
  <c r="D174" i="1"/>
  <c r="G174" i="1" s="1"/>
  <c r="C174" i="1"/>
  <c r="B174" i="1"/>
  <c r="L173" i="1"/>
  <c r="M173" i="1" s="1"/>
  <c r="G173" i="1"/>
  <c r="D173" i="1"/>
  <c r="H173" i="1" s="1"/>
  <c r="C173" i="1"/>
  <c r="B173" i="1"/>
  <c r="L172" i="1"/>
  <c r="M172" i="1" s="1"/>
  <c r="H172" i="1"/>
  <c r="C172" i="1"/>
  <c r="B172" i="1"/>
  <c r="D172" i="1" s="1"/>
  <c r="G172" i="1" s="1"/>
  <c r="L171" i="1"/>
  <c r="M171" i="1" s="1"/>
  <c r="C171" i="1"/>
  <c r="B171" i="1"/>
  <c r="D171" i="1" s="1"/>
  <c r="H171" i="1" s="1"/>
  <c r="M170" i="1"/>
  <c r="L170" i="1"/>
  <c r="D170" i="1"/>
  <c r="H170" i="1" s="1"/>
  <c r="C170" i="1"/>
  <c r="B170" i="1"/>
  <c r="L169" i="1"/>
  <c r="M169" i="1" s="1"/>
  <c r="C169" i="1"/>
  <c r="D169" i="1" s="1"/>
  <c r="B169" i="1"/>
  <c r="M168" i="1"/>
  <c r="L168" i="1"/>
  <c r="H168" i="1"/>
  <c r="C168" i="1"/>
  <c r="B168" i="1"/>
  <c r="D168" i="1" s="1"/>
  <c r="G168" i="1" s="1"/>
  <c r="L167" i="1"/>
  <c r="M167" i="1" s="1"/>
  <c r="H167" i="1"/>
  <c r="G167" i="1"/>
  <c r="C167" i="1"/>
  <c r="B167" i="1"/>
  <c r="D167" i="1" s="1"/>
  <c r="M166" i="1"/>
  <c r="L166" i="1"/>
  <c r="D166" i="1"/>
  <c r="G166" i="1" s="1"/>
  <c r="C166" i="1"/>
  <c r="B166" i="1"/>
  <c r="L165" i="1"/>
  <c r="M165" i="1" s="1"/>
  <c r="D165" i="1"/>
  <c r="H165" i="1" s="1"/>
  <c r="C165" i="1"/>
  <c r="B165" i="1"/>
  <c r="L164" i="1"/>
  <c r="M164" i="1" s="1"/>
  <c r="C164" i="1"/>
  <c r="B164" i="1"/>
  <c r="L163" i="1"/>
  <c r="M163" i="1" s="1"/>
  <c r="G163" i="1"/>
  <c r="C163" i="1"/>
  <c r="B163" i="1"/>
  <c r="D163" i="1" s="1"/>
  <c r="H163" i="1" s="1"/>
  <c r="M162" i="1"/>
  <c r="L162" i="1"/>
  <c r="C162" i="1"/>
  <c r="B162" i="1"/>
  <c r="D162" i="1" s="1"/>
  <c r="L161" i="1"/>
  <c r="M161" i="1" s="1"/>
  <c r="C161" i="1"/>
  <c r="D161" i="1" s="1"/>
  <c r="B161" i="1"/>
  <c r="M160" i="1"/>
  <c r="L160" i="1"/>
  <c r="C160" i="1"/>
  <c r="B160" i="1"/>
  <c r="L159" i="1"/>
  <c r="M159" i="1" s="1"/>
  <c r="H159" i="1"/>
  <c r="G159" i="1"/>
  <c r="C159" i="1"/>
  <c r="B159" i="1"/>
  <c r="D159" i="1" s="1"/>
  <c r="M158" i="1"/>
  <c r="L158" i="1"/>
  <c r="D158" i="1"/>
  <c r="G158" i="1" s="1"/>
  <c r="C158" i="1"/>
  <c r="B158" i="1"/>
  <c r="L157" i="1"/>
  <c r="M157" i="1" s="1"/>
  <c r="D157" i="1"/>
  <c r="H157" i="1" s="1"/>
  <c r="C157" i="1"/>
  <c r="B157" i="1"/>
  <c r="L156" i="1"/>
  <c r="M156" i="1" s="1"/>
  <c r="C156" i="1"/>
  <c r="B156" i="1"/>
  <c r="D156" i="1" s="1"/>
  <c r="G156" i="1" s="1"/>
  <c r="L155" i="1"/>
  <c r="M155" i="1" s="1"/>
  <c r="C155" i="1"/>
  <c r="B155" i="1"/>
  <c r="M154" i="1"/>
  <c r="L154" i="1"/>
  <c r="C154" i="1"/>
  <c r="B154" i="1"/>
  <c r="D154" i="1" s="1"/>
  <c r="M153" i="1"/>
  <c r="L153" i="1"/>
  <c r="C153" i="1"/>
  <c r="D153" i="1" s="1"/>
  <c r="B153" i="1"/>
  <c r="M152" i="1"/>
  <c r="L152" i="1"/>
  <c r="C152" i="1"/>
  <c r="B152" i="1"/>
  <c r="D152" i="1" s="1"/>
  <c r="G152" i="1" s="1"/>
  <c r="L151" i="1"/>
  <c r="M151" i="1" s="1"/>
  <c r="H151" i="1"/>
  <c r="G151" i="1"/>
  <c r="C151" i="1"/>
  <c r="B151" i="1"/>
  <c r="D151" i="1" s="1"/>
  <c r="M150" i="1"/>
  <c r="L150" i="1"/>
  <c r="H150" i="1"/>
  <c r="D150" i="1"/>
  <c r="G150" i="1" s="1"/>
  <c r="C150" i="1"/>
  <c r="B150" i="1"/>
  <c r="L149" i="1"/>
  <c r="M149" i="1" s="1"/>
  <c r="G149" i="1"/>
  <c r="D149" i="1"/>
  <c r="H149" i="1" s="1"/>
  <c r="C149" i="1"/>
  <c r="B149" i="1"/>
  <c r="L148" i="1"/>
  <c r="M148" i="1" s="1"/>
  <c r="C148" i="1"/>
  <c r="B148" i="1"/>
  <c r="L147" i="1"/>
  <c r="M147" i="1" s="1"/>
  <c r="C147" i="1"/>
  <c r="B147" i="1"/>
  <c r="D147" i="1" s="1"/>
  <c r="H147" i="1" s="1"/>
  <c r="M146" i="1"/>
  <c r="L146" i="1"/>
  <c r="C146" i="1"/>
  <c r="B146" i="1"/>
  <c r="D146" i="1" s="1"/>
  <c r="L145" i="1"/>
  <c r="M145" i="1" s="1"/>
  <c r="C145" i="1"/>
  <c r="D145" i="1" s="1"/>
  <c r="B145" i="1"/>
  <c r="M144" i="1"/>
  <c r="L144" i="1"/>
  <c r="C144" i="1"/>
  <c r="B144" i="1"/>
  <c r="D144" i="1" s="1"/>
  <c r="G144" i="1" s="1"/>
  <c r="L143" i="1"/>
  <c r="M143" i="1" s="1"/>
  <c r="H143" i="1"/>
  <c r="G143" i="1"/>
  <c r="C143" i="1"/>
  <c r="B143" i="1"/>
  <c r="D143" i="1" s="1"/>
  <c r="M142" i="1"/>
  <c r="L142" i="1"/>
  <c r="D142" i="1"/>
  <c r="G142" i="1" s="1"/>
  <c r="C142" i="1"/>
  <c r="B142" i="1"/>
  <c r="L141" i="1"/>
  <c r="M141" i="1" s="1"/>
  <c r="D141" i="1"/>
  <c r="H141" i="1" s="1"/>
  <c r="C141" i="1"/>
  <c r="B141" i="1"/>
  <c r="L140" i="1"/>
  <c r="M140" i="1" s="1"/>
  <c r="C140" i="1"/>
  <c r="B140" i="1"/>
  <c r="L139" i="1"/>
  <c r="M139" i="1" s="1"/>
  <c r="C139" i="1"/>
  <c r="B139" i="1"/>
  <c r="D139" i="1" s="1"/>
  <c r="H139" i="1" s="1"/>
  <c r="M138" i="1"/>
  <c r="L138" i="1"/>
  <c r="C138" i="1"/>
  <c r="B138" i="1"/>
  <c r="D138" i="1" s="1"/>
  <c r="L137" i="1"/>
  <c r="M137" i="1" s="1"/>
  <c r="C137" i="1"/>
  <c r="D137" i="1" s="1"/>
  <c r="B137" i="1"/>
  <c r="M136" i="1"/>
  <c r="L136" i="1"/>
  <c r="C136" i="1"/>
  <c r="B136" i="1"/>
  <c r="L135" i="1"/>
  <c r="M135" i="1" s="1"/>
  <c r="H135" i="1"/>
  <c r="G135" i="1"/>
  <c r="C135" i="1"/>
  <c r="B135" i="1"/>
  <c r="D135" i="1" s="1"/>
  <c r="M134" i="1"/>
  <c r="L134" i="1"/>
  <c r="D134" i="1"/>
  <c r="G134" i="1" s="1"/>
  <c r="C134" i="1"/>
  <c r="B134" i="1"/>
  <c r="L133" i="1"/>
  <c r="M133" i="1" s="1"/>
  <c r="G133" i="1"/>
  <c r="D133" i="1"/>
  <c r="H133" i="1" s="1"/>
  <c r="C133" i="1"/>
  <c r="B133" i="1"/>
  <c r="L132" i="1"/>
  <c r="M132" i="1" s="1"/>
  <c r="H132" i="1"/>
  <c r="C132" i="1"/>
  <c r="B132" i="1"/>
  <c r="D132" i="1" s="1"/>
  <c r="G132" i="1" s="1"/>
  <c r="L131" i="1"/>
  <c r="M131" i="1" s="1"/>
  <c r="C131" i="1"/>
  <c r="B131" i="1"/>
  <c r="M130" i="1"/>
  <c r="L130" i="1"/>
  <c r="D130" i="1"/>
  <c r="H130" i="1" s="1"/>
  <c r="C130" i="1"/>
  <c r="B130" i="1"/>
  <c r="M129" i="1"/>
  <c r="L129" i="1"/>
  <c r="C129" i="1"/>
  <c r="D129" i="1" s="1"/>
  <c r="B129" i="1"/>
  <c r="M128" i="1"/>
  <c r="L128" i="1"/>
  <c r="C128" i="1"/>
  <c r="B128" i="1"/>
  <c r="D128" i="1" s="1"/>
  <c r="G128" i="1" s="1"/>
  <c r="L127" i="1"/>
  <c r="M127" i="1" s="1"/>
  <c r="H127" i="1"/>
  <c r="G127" i="1"/>
  <c r="C127" i="1"/>
  <c r="B127" i="1"/>
  <c r="D127" i="1" s="1"/>
  <c r="M126" i="1"/>
  <c r="L126" i="1"/>
  <c r="H126" i="1"/>
  <c r="D126" i="1"/>
  <c r="G126" i="1" s="1"/>
  <c r="C126" i="1"/>
  <c r="B126" i="1"/>
  <c r="L125" i="1"/>
  <c r="M125" i="1" s="1"/>
  <c r="G125" i="1"/>
  <c r="D125" i="1"/>
  <c r="H125" i="1" s="1"/>
  <c r="C125" i="1"/>
  <c r="B125" i="1"/>
  <c r="L124" i="1"/>
  <c r="M124" i="1" s="1"/>
  <c r="C124" i="1"/>
  <c r="B124" i="1"/>
  <c r="L123" i="1"/>
  <c r="M123" i="1" s="1"/>
  <c r="C123" i="1"/>
  <c r="B123" i="1"/>
  <c r="D123" i="1" s="1"/>
  <c r="H123" i="1" s="1"/>
  <c r="M122" i="1"/>
  <c r="L122" i="1"/>
  <c r="C122" i="1"/>
  <c r="B122" i="1"/>
  <c r="D122" i="1" s="1"/>
  <c r="L121" i="1"/>
  <c r="M121" i="1" s="1"/>
  <c r="C121" i="1"/>
  <c r="D121" i="1" s="1"/>
  <c r="B121" i="1"/>
  <c r="M120" i="1"/>
  <c r="L120" i="1"/>
  <c r="C120" i="1"/>
  <c r="B120" i="1"/>
  <c r="L119" i="1"/>
  <c r="M119" i="1" s="1"/>
  <c r="H119" i="1"/>
  <c r="G119" i="1"/>
  <c r="C119" i="1"/>
  <c r="B119" i="1"/>
  <c r="D119" i="1" s="1"/>
  <c r="M118" i="1"/>
  <c r="L118" i="1"/>
  <c r="D118" i="1"/>
  <c r="G118" i="1" s="1"/>
  <c r="C118" i="1"/>
  <c r="B118" i="1"/>
  <c r="L117" i="1"/>
  <c r="M117" i="1" s="1"/>
  <c r="D117" i="1"/>
  <c r="H117" i="1" s="1"/>
  <c r="C117" i="1"/>
  <c r="B117" i="1"/>
  <c r="L116" i="1"/>
  <c r="M116" i="1" s="1"/>
  <c r="C116" i="1"/>
  <c r="B116" i="1"/>
  <c r="D116" i="1" s="1"/>
  <c r="G116" i="1" s="1"/>
  <c r="L115" i="1"/>
  <c r="M115" i="1" s="1"/>
  <c r="C115" i="1"/>
  <c r="B115" i="1"/>
  <c r="M114" i="1"/>
  <c r="L114" i="1"/>
  <c r="D114" i="1"/>
  <c r="H114" i="1" s="1"/>
  <c r="C114" i="1"/>
  <c r="B114" i="1"/>
  <c r="M113" i="1"/>
  <c r="L113" i="1"/>
  <c r="C113" i="1"/>
  <c r="D113" i="1" s="1"/>
  <c r="B113" i="1"/>
  <c r="M112" i="1"/>
  <c r="L112" i="1"/>
  <c r="C112" i="1"/>
  <c r="B112" i="1"/>
  <c r="L111" i="1"/>
  <c r="M111" i="1" s="1"/>
  <c r="H111" i="1"/>
  <c r="G111" i="1"/>
  <c r="C111" i="1"/>
  <c r="B111" i="1"/>
  <c r="D111" i="1" s="1"/>
  <c r="M110" i="1"/>
  <c r="L110" i="1"/>
  <c r="H110" i="1"/>
  <c r="D110" i="1"/>
  <c r="G110" i="1" s="1"/>
  <c r="C110" i="1"/>
  <c r="B110" i="1"/>
  <c r="L109" i="1"/>
  <c r="M109" i="1" s="1"/>
  <c r="G109" i="1"/>
  <c r="D109" i="1"/>
  <c r="H109" i="1" s="1"/>
  <c r="C109" i="1"/>
  <c r="B109" i="1"/>
  <c r="L108" i="1"/>
  <c r="M108" i="1" s="1"/>
  <c r="C108" i="1"/>
  <c r="B108" i="1"/>
  <c r="D108" i="1" s="1"/>
  <c r="G108" i="1" s="1"/>
  <c r="L107" i="1"/>
  <c r="M107" i="1" s="1"/>
  <c r="C107" i="1"/>
  <c r="B107" i="1"/>
  <c r="M106" i="1"/>
  <c r="L106" i="1"/>
  <c r="D106" i="1"/>
  <c r="H106" i="1" s="1"/>
  <c r="C106" i="1"/>
  <c r="B106" i="1"/>
  <c r="M105" i="1"/>
  <c r="L105" i="1"/>
  <c r="C105" i="1"/>
  <c r="D105" i="1" s="1"/>
  <c r="B105" i="1"/>
  <c r="M104" i="1"/>
  <c r="L104" i="1"/>
  <c r="H104" i="1"/>
  <c r="C104" i="1"/>
  <c r="B104" i="1"/>
  <c r="D104" i="1" s="1"/>
  <c r="G104" i="1" s="1"/>
  <c r="L103" i="1"/>
  <c r="M103" i="1" s="1"/>
  <c r="H103" i="1"/>
  <c r="G103" i="1"/>
  <c r="C103" i="1"/>
  <c r="B103" i="1"/>
  <c r="D103" i="1" s="1"/>
  <c r="M102" i="1"/>
  <c r="L102" i="1"/>
  <c r="H102" i="1"/>
  <c r="D102" i="1"/>
  <c r="G102" i="1" s="1"/>
  <c r="C102" i="1"/>
  <c r="B102" i="1"/>
  <c r="L101" i="1"/>
  <c r="M101" i="1" s="1"/>
  <c r="D101" i="1"/>
  <c r="H101" i="1" s="1"/>
  <c r="C101" i="1"/>
  <c r="B101" i="1"/>
  <c r="L100" i="1"/>
  <c r="M100" i="1" s="1"/>
  <c r="C100" i="1"/>
  <c r="B100" i="1"/>
  <c r="L99" i="1"/>
  <c r="M99" i="1" s="1"/>
  <c r="G99" i="1"/>
  <c r="C99" i="1"/>
  <c r="B99" i="1"/>
  <c r="D99" i="1" s="1"/>
  <c r="H99" i="1" s="1"/>
  <c r="M98" i="1"/>
  <c r="L98" i="1"/>
  <c r="C98" i="1"/>
  <c r="B98" i="1"/>
  <c r="D98" i="1" s="1"/>
  <c r="L97" i="1"/>
  <c r="M97" i="1" s="1"/>
  <c r="C97" i="1"/>
  <c r="D97" i="1" s="1"/>
  <c r="B97" i="1"/>
  <c r="M96" i="1"/>
  <c r="L96" i="1"/>
  <c r="C96" i="1"/>
  <c r="B96" i="1"/>
  <c r="L95" i="1"/>
  <c r="M95" i="1" s="1"/>
  <c r="H95" i="1"/>
  <c r="G95" i="1"/>
  <c r="C95" i="1"/>
  <c r="B95" i="1"/>
  <c r="D95" i="1" s="1"/>
  <c r="M94" i="1"/>
  <c r="L94" i="1"/>
  <c r="D94" i="1"/>
  <c r="G94" i="1" s="1"/>
  <c r="C94" i="1"/>
  <c r="B94" i="1"/>
  <c r="L93" i="1"/>
  <c r="M93" i="1" s="1"/>
  <c r="D93" i="1"/>
  <c r="H93" i="1" s="1"/>
  <c r="C93" i="1"/>
  <c r="B93" i="1"/>
  <c r="L92" i="1"/>
  <c r="M92" i="1" s="1"/>
  <c r="C92" i="1"/>
  <c r="B92" i="1"/>
  <c r="D92" i="1" s="1"/>
  <c r="G92" i="1" s="1"/>
  <c r="L91" i="1"/>
  <c r="M91" i="1" s="1"/>
  <c r="C91" i="1"/>
  <c r="B91" i="1"/>
  <c r="M90" i="1"/>
  <c r="L90" i="1"/>
  <c r="C90" i="1"/>
  <c r="B90" i="1"/>
  <c r="D90" i="1" s="1"/>
  <c r="M89" i="1"/>
  <c r="L89" i="1"/>
  <c r="C89" i="1"/>
  <c r="D89" i="1" s="1"/>
  <c r="B89" i="1"/>
  <c r="M88" i="1"/>
  <c r="L88" i="1"/>
  <c r="C88" i="1"/>
  <c r="B88" i="1"/>
  <c r="D88" i="1" s="1"/>
  <c r="G88" i="1" s="1"/>
  <c r="L87" i="1"/>
  <c r="M87" i="1" s="1"/>
  <c r="H87" i="1"/>
  <c r="G87" i="1"/>
  <c r="C87" i="1"/>
  <c r="B87" i="1"/>
  <c r="D87" i="1" s="1"/>
  <c r="M86" i="1"/>
  <c r="L86" i="1"/>
  <c r="H86" i="1"/>
  <c r="D86" i="1"/>
  <c r="G86" i="1" s="1"/>
  <c r="C86" i="1"/>
  <c r="B86" i="1"/>
  <c r="L85" i="1"/>
  <c r="M85" i="1" s="1"/>
  <c r="G85" i="1"/>
  <c r="D85" i="1"/>
  <c r="H85" i="1" s="1"/>
  <c r="C85" i="1"/>
  <c r="B85" i="1"/>
  <c r="L84" i="1"/>
  <c r="M84" i="1" s="1"/>
  <c r="C84" i="1"/>
  <c r="B84" i="1"/>
  <c r="L83" i="1"/>
  <c r="M83" i="1" s="1"/>
  <c r="C83" i="1"/>
  <c r="B83" i="1"/>
  <c r="D83" i="1" s="1"/>
  <c r="H83" i="1" s="1"/>
  <c r="M82" i="1"/>
  <c r="L82" i="1"/>
  <c r="C82" i="1"/>
  <c r="B82" i="1"/>
  <c r="D82" i="1" s="1"/>
  <c r="L81" i="1"/>
  <c r="M81" i="1" s="1"/>
  <c r="C81" i="1"/>
  <c r="D81" i="1" s="1"/>
  <c r="B81" i="1"/>
  <c r="M80" i="1"/>
  <c r="L80" i="1"/>
  <c r="C80" i="1"/>
  <c r="B80" i="1"/>
  <c r="D80" i="1" s="1"/>
  <c r="G80" i="1" s="1"/>
  <c r="L79" i="1"/>
  <c r="M79" i="1" s="1"/>
  <c r="H79" i="1"/>
  <c r="G79" i="1"/>
  <c r="C79" i="1"/>
  <c r="B79" i="1"/>
  <c r="D79" i="1" s="1"/>
  <c r="M78" i="1"/>
  <c r="L78" i="1"/>
  <c r="D78" i="1"/>
  <c r="G78" i="1" s="1"/>
  <c r="C78" i="1"/>
  <c r="B78" i="1"/>
  <c r="L77" i="1"/>
  <c r="M77" i="1" s="1"/>
  <c r="D77" i="1"/>
  <c r="H77" i="1" s="1"/>
  <c r="C77" i="1"/>
  <c r="B77" i="1"/>
  <c r="L76" i="1"/>
  <c r="M76" i="1" s="1"/>
  <c r="C76" i="1"/>
  <c r="B76" i="1"/>
  <c r="L75" i="1"/>
  <c r="M75" i="1" s="1"/>
  <c r="C75" i="1"/>
  <c r="B75" i="1"/>
  <c r="D75" i="1" s="1"/>
  <c r="H75" i="1" s="1"/>
  <c r="M74" i="1"/>
  <c r="L74" i="1"/>
  <c r="C74" i="1"/>
  <c r="B74" i="1"/>
  <c r="D74" i="1" s="1"/>
  <c r="L73" i="1"/>
  <c r="M73" i="1" s="1"/>
  <c r="C73" i="1"/>
  <c r="D73" i="1" s="1"/>
  <c r="B73" i="1"/>
  <c r="M72" i="1"/>
  <c r="L72" i="1"/>
  <c r="C72" i="1"/>
  <c r="B72" i="1"/>
  <c r="L71" i="1"/>
  <c r="M71" i="1" s="1"/>
  <c r="H71" i="1"/>
  <c r="G71" i="1"/>
  <c r="C71" i="1"/>
  <c r="B71" i="1"/>
  <c r="D71" i="1" s="1"/>
  <c r="M70" i="1"/>
  <c r="L70" i="1"/>
  <c r="D70" i="1"/>
  <c r="G70" i="1" s="1"/>
  <c r="C70" i="1"/>
  <c r="B70" i="1"/>
  <c r="L69" i="1"/>
  <c r="M69" i="1" s="1"/>
  <c r="G69" i="1"/>
  <c r="D69" i="1"/>
  <c r="H69" i="1" s="1"/>
  <c r="C69" i="1"/>
  <c r="B69" i="1"/>
  <c r="L68" i="1"/>
  <c r="M68" i="1" s="1"/>
  <c r="H68" i="1"/>
  <c r="C68" i="1"/>
  <c r="B68" i="1"/>
  <c r="D68" i="1" s="1"/>
  <c r="G68" i="1" s="1"/>
  <c r="L67" i="1"/>
  <c r="M67" i="1" s="1"/>
  <c r="C67" i="1"/>
  <c r="B67" i="1"/>
  <c r="M66" i="1"/>
  <c r="L66" i="1"/>
  <c r="D66" i="1"/>
  <c r="H66" i="1" s="1"/>
  <c r="C66" i="1"/>
  <c r="B66" i="1"/>
  <c r="M65" i="1"/>
  <c r="L65" i="1"/>
  <c r="C65" i="1"/>
  <c r="D65" i="1" s="1"/>
  <c r="B65" i="1"/>
  <c r="M64" i="1"/>
  <c r="L64" i="1"/>
  <c r="C64" i="1"/>
  <c r="B64" i="1"/>
  <c r="D64" i="1" s="1"/>
  <c r="G64" i="1" s="1"/>
  <c r="L63" i="1"/>
  <c r="M63" i="1" s="1"/>
  <c r="H63" i="1"/>
  <c r="G63" i="1"/>
  <c r="C63" i="1"/>
  <c r="B63" i="1"/>
  <c r="D63" i="1" s="1"/>
  <c r="M62" i="1"/>
  <c r="L62" i="1"/>
  <c r="H62" i="1"/>
  <c r="D62" i="1"/>
  <c r="G62" i="1" s="1"/>
  <c r="C62" i="1"/>
  <c r="B62" i="1"/>
  <c r="L61" i="1"/>
  <c r="M61" i="1" s="1"/>
  <c r="G61" i="1"/>
  <c r="D61" i="1"/>
  <c r="H61" i="1" s="1"/>
  <c r="C61" i="1"/>
  <c r="B61" i="1"/>
  <c r="L60" i="1"/>
  <c r="M60" i="1" s="1"/>
  <c r="C60" i="1"/>
  <c r="D60" i="1" s="1"/>
  <c r="B60" i="1"/>
  <c r="L59" i="1"/>
  <c r="M59" i="1" s="1"/>
  <c r="C59" i="1"/>
  <c r="D59" i="1" s="1"/>
  <c r="B59" i="1"/>
  <c r="L58" i="1"/>
  <c r="M58" i="1" s="1"/>
  <c r="C58" i="1"/>
  <c r="B58" i="1"/>
  <c r="M57" i="1"/>
  <c r="L57" i="1"/>
  <c r="C57" i="1"/>
  <c r="B57" i="1"/>
  <c r="D57" i="1" s="1"/>
  <c r="L56" i="1"/>
  <c r="M56" i="1" s="1"/>
  <c r="C56" i="1"/>
  <c r="D56" i="1" s="1"/>
  <c r="B56" i="1"/>
  <c r="L55" i="1"/>
  <c r="M55" i="1" s="1"/>
  <c r="C55" i="1"/>
  <c r="D55" i="1" s="1"/>
  <c r="B55" i="1"/>
  <c r="L54" i="1"/>
  <c r="M54" i="1" s="1"/>
  <c r="C54" i="1"/>
  <c r="B54" i="1"/>
  <c r="M53" i="1"/>
  <c r="L53" i="1"/>
  <c r="C53" i="1"/>
  <c r="B53" i="1"/>
  <c r="D53" i="1" s="1"/>
  <c r="L52" i="1"/>
  <c r="M52" i="1" s="1"/>
  <c r="C52" i="1"/>
  <c r="D52" i="1" s="1"/>
  <c r="B52" i="1"/>
  <c r="L51" i="1"/>
  <c r="M51" i="1" s="1"/>
  <c r="C51" i="1"/>
  <c r="D51" i="1" s="1"/>
  <c r="B51" i="1"/>
  <c r="L50" i="1"/>
  <c r="M50" i="1" s="1"/>
  <c r="C50" i="1"/>
  <c r="B50" i="1"/>
  <c r="M49" i="1"/>
  <c r="L49" i="1"/>
  <c r="C49" i="1"/>
  <c r="B49" i="1"/>
  <c r="D49" i="1" s="1"/>
  <c r="L48" i="1"/>
  <c r="M48" i="1" s="1"/>
  <c r="C48" i="1"/>
  <c r="D48" i="1" s="1"/>
  <c r="B48" i="1"/>
  <c r="L47" i="1"/>
  <c r="M47" i="1" s="1"/>
  <c r="C47" i="1"/>
  <c r="D47" i="1" s="1"/>
  <c r="B47" i="1"/>
  <c r="L46" i="1"/>
  <c r="M46" i="1" s="1"/>
  <c r="C46" i="1"/>
  <c r="B46" i="1"/>
  <c r="M45" i="1"/>
  <c r="L45" i="1"/>
  <c r="C45" i="1"/>
  <c r="B45" i="1"/>
  <c r="D45" i="1" s="1"/>
  <c r="L44" i="1"/>
  <c r="M44" i="1" s="1"/>
  <c r="C44" i="1"/>
  <c r="D44" i="1" s="1"/>
  <c r="B44" i="1"/>
  <c r="L43" i="1"/>
  <c r="M43" i="1" s="1"/>
  <c r="C43" i="1"/>
  <c r="D43" i="1" s="1"/>
  <c r="B43" i="1"/>
  <c r="L42" i="1"/>
  <c r="M42" i="1" s="1"/>
  <c r="C42" i="1"/>
  <c r="B42" i="1"/>
  <c r="M41" i="1"/>
  <c r="L41" i="1"/>
  <c r="C41" i="1"/>
  <c r="B41" i="1"/>
  <c r="D41" i="1" s="1"/>
  <c r="L40" i="1"/>
  <c r="M40" i="1" s="1"/>
  <c r="C40" i="1"/>
  <c r="D40" i="1" s="1"/>
  <c r="B40" i="1"/>
  <c r="L39" i="1"/>
  <c r="M39" i="1" s="1"/>
  <c r="C39" i="1"/>
  <c r="D39" i="1" s="1"/>
  <c r="B39" i="1"/>
  <c r="L38" i="1"/>
  <c r="M38" i="1" s="1"/>
  <c r="C38" i="1"/>
  <c r="B38" i="1"/>
  <c r="M37" i="1"/>
  <c r="L37" i="1"/>
  <c r="C37" i="1"/>
  <c r="B37" i="1"/>
  <c r="D37" i="1" s="1"/>
  <c r="L36" i="1"/>
  <c r="M36" i="1" s="1"/>
  <c r="C36" i="1"/>
  <c r="D36" i="1" s="1"/>
  <c r="B36" i="1"/>
  <c r="L35" i="1"/>
  <c r="M35" i="1" s="1"/>
  <c r="C35" i="1"/>
  <c r="D35" i="1" s="1"/>
  <c r="B35" i="1"/>
  <c r="L34" i="1"/>
  <c r="M34" i="1" s="1"/>
  <c r="C34" i="1"/>
  <c r="B34" i="1"/>
  <c r="M33" i="1"/>
  <c r="L33" i="1"/>
  <c r="C33" i="1"/>
  <c r="B33" i="1"/>
  <c r="D33" i="1" s="1"/>
  <c r="L32" i="1"/>
  <c r="M32" i="1" s="1"/>
  <c r="C32" i="1"/>
  <c r="D32" i="1" s="1"/>
  <c r="B32" i="1"/>
  <c r="L31" i="1"/>
  <c r="M31" i="1" s="1"/>
  <c r="C31" i="1"/>
  <c r="D31" i="1" s="1"/>
  <c r="B31" i="1"/>
  <c r="L30" i="1"/>
  <c r="M30" i="1" s="1"/>
  <c r="C30" i="1"/>
  <c r="B30" i="1"/>
  <c r="M29" i="1"/>
  <c r="L29" i="1"/>
  <c r="C29" i="1"/>
  <c r="B29" i="1"/>
  <c r="D29" i="1" s="1"/>
  <c r="L28" i="1"/>
  <c r="M28" i="1" s="1"/>
  <c r="C28" i="1"/>
  <c r="D28" i="1" s="1"/>
  <c r="B28" i="1"/>
  <c r="L27" i="1"/>
  <c r="M27" i="1" s="1"/>
  <c r="C27" i="1"/>
  <c r="D27" i="1" s="1"/>
  <c r="B27" i="1"/>
  <c r="L26" i="1"/>
  <c r="M26" i="1" s="1"/>
  <c r="C26" i="1"/>
  <c r="B26" i="1"/>
  <c r="M25" i="1"/>
  <c r="L25" i="1"/>
  <c r="C25" i="1"/>
  <c r="B25" i="1"/>
  <c r="D25" i="1" s="1"/>
  <c r="L24" i="1"/>
  <c r="M24" i="1" s="1"/>
  <c r="C24" i="1"/>
  <c r="D24" i="1" s="1"/>
  <c r="B24" i="1"/>
  <c r="L23" i="1"/>
  <c r="M23" i="1" s="1"/>
  <c r="C23" i="1"/>
  <c r="D23" i="1" s="1"/>
  <c r="B23" i="1"/>
  <c r="L22" i="1"/>
  <c r="M22" i="1" s="1"/>
  <c r="C22" i="1"/>
  <c r="B22" i="1"/>
  <c r="M21" i="1"/>
  <c r="L21" i="1"/>
  <c r="C21" i="1"/>
  <c r="B21" i="1"/>
  <c r="D21" i="1" s="1"/>
  <c r="L20" i="1"/>
  <c r="M20" i="1" s="1"/>
  <c r="C20" i="1"/>
  <c r="D20" i="1" s="1"/>
  <c r="B20" i="1"/>
  <c r="L19" i="1"/>
  <c r="M19" i="1" s="1"/>
  <c r="C19" i="1"/>
  <c r="D19" i="1" s="1"/>
  <c r="B19" i="1"/>
  <c r="L18" i="1"/>
  <c r="M18" i="1" s="1"/>
  <c r="C18" i="1"/>
  <c r="B18" i="1"/>
  <c r="M17" i="1"/>
  <c r="L17" i="1"/>
  <c r="C17" i="1"/>
  <c r="B17" i="1"/>
  <c r="D17" i="1" s="1"/>
  <c r="L16" i="1"/>
  <c r="M16" i="1" s="1"/>
  <c r="C16" i="1"/>
  <c r="D16" i="1" s="1"/>
  <c r="B16" i="1"/>
  <c r="L15" i="1"/>
  <c r="M15" i="1" s="1"/>
  <c r="C15" i="1"/>
  <c r="D15" i="1" s="1"/>
  <c r="B15" i="1"/>
  <c r="L14" i="1"/>
  <c r="M14" i="1" s="1"/>
  <c r="C14" i="1"/>
  <c r="B14" i="1"/>
  <c r="M13" i="1"/>
  <c r="L13" i="1"/>
  <c r="C13" i="1"/>
  <c r="B13" i="1"/>
  <c r="D13" i="1" s="1"/>
  <c r="L12" i="1"/>
  <c r="M12" i="1" s="1"/>
  <c r="C12" i="1"/>
  <c r="D12" i="1" s="1"/>
  <c r="B12" i="1"/>
  <c r="L11" i="1"/>
  <c r="M11" i="1" s="1"/>
  <c r="C11" i="1"/>
  <c r="D11" i="1" s="1"/>
  <c r="B11" i="1"/>
  <c r="L10" i="1"/>
  <c r="M10" i="1" s="1"/>
  <c r="C10" i="1"/>
  <c r="B10" i="1"/>
  <c r="M9" i="1"/>
  <c r="L9" i="1"/>
  <c r="C9" i="1"/>
  <c r="B9" i="1"/>
  <c r="D9" i="1" s="1"/>
  <c r="L8" i="1"/>
  <c r="M8" i="1" s="1"/>
  <c r="C8" i="1"/>
  <c r="D8" i="1" s="1"/>
  <c r="B8" i="1"/>
  <c r="L7" i="1"/>
  <c r="M7" i="1" s="1"/>
  <c r="C7" i="1"/>
  <c r="D7" i="1" s="1"/>
  <c r="B7" i="1"/>
  <c r="L6" i="1"/>
  <c r="M6" i="1" s="1"/>
  <c r="C6" i="1"/>
  <c r="B6" i="1"/>
  <c r="M5" i="1"/>
  <c r="L5" i="1"/>
  <c r="C5" i="1"/>
  <c r="B5" i="1"/>
  <c r="D5" i="1" s="1"/>
  <c r="L4" i="1"/>
  <c r="M4" i="1" s="1"/>
  <c r="C4" i="1"/>
  <c r="D4" i="1" s="1"/>
  <c r="B4" i="1"/>
  <c r="H16" i="1" l="1"/>
  <c r="G16" i="1"/>
  <c r="G51" i="1"/>
  <c r="H51" i="1"/>
  <c r="H82" i="1"/>
  <c r="G82" i="1"/>
  <c r="G7" i="1"/>
  <c r="H7" i="1"/>
  <c r="H21" i="1"/>
  <c r="G21" i="1"/>
  <c r="G23" i="1"/>
  <c r="H23" i="1"/>
  <c r="H28" i="1"/>
  <c r="G28" i="1"/>
  <c r="H53" i="1"/>
  <c r="G53" i="1"/>
  <c r="G55" i="1"/>
  <c r="H55" i="1"/>
  <c r="H60" i="1"/>
  <c r="G60" i="1"/>
  <c r="H9" i="1"/>
  <c r="G9" i="1"/>
  <c r="G11" i="1"/>
  <c r="H11" i="1"/>
  <c r="H41" i="1"/>
  <c r="G41" i="1"/>
  <c r="H4" i="1"/>
  <c r="G4" i="1"/>
  <c r="G19" i="1"/>
  <c r="H19" i="1"/>
  <c r="H98" i="1"/>
  <c r="G98" i="1"/>
  <c r="H25" i="1"/>
  <c r="G25" i="1"/>
  <c r="G27" i="1"/>
  <c r="H27" i="1"/>
  <c r="H32" i="1"/>
  <c r="G32" i="1"/>
  <c r="G57" i="1"/>
  <c r="H57" i="1"/>
  <c r="G59" i="1"/>
  <c r="H59" i="1"/>
  <c r="H90" i="1"/>
  <c r="G90" i="1"/>
  <c r="H146" i="1"/>
  <c r="G146" i="1"/>
  <c r="G49" i="1"/>
  <c r="H49" i="1"/>
  <c r="H56" i="1"/>
  <c r="G56" i="1"/>
  <c r="G37" i="1"/>
  <c r="H37" i="1"/>
  <c r="H44" i="1"/>
  <c r="G44" i="1"/>
  <c r="H74" i="1"/>
  <c r="G74" i="1"/>
  <c r="G13" i="1"/>
  <c r="H13" i="1"/>
  <c r="G15" i="1"/>
  <c r="H15" i="1"/>
  <c r="H20" i="1"/>
  <c r="G20" i="1"/>
  <c r="G45" i="1"/>
  <c r="H45" i="1"/>
  <c r="G47" i="1"/>
  <c r="H47" i="1"/>
  <c r="H52" i="1"/>
  <c r="G52" i="1"/>
  <c r="H138" i="1"/>
  <c r="G138" i="1"/>
  <c r="H162" i="1"/>
  <c r="G162" i="1"/>
  <c r="G43" i="1"/>
  <c r="H43" i="1"/>
  <c r="H48" i="1"/>
  <c r="G48" i="1"/>
  <c r="G29" i="1"/>
  <c r="H29" i="1"/>
  <c r="G31" i="1"/>
  <c r="H31" i="1"/>
  <c r="H36" i="1"/>
  <c r="G36" i="1"/>
  <c r="H122" i="1"/>
  <c r="G122" i="1"/>
  <c r="G17" i="1"/>
  <c r="H17" i="1"/>
  <c r="H24" i="1"/>
  <c r="G24" i="1"/>
  <c r="H5" i="1"/>
  <c r="G5" i="1"/>
  <c r="H12" i="1"/>
  <c r="G12" i="1"/>
  <c r="G39" i="1"/>
  <c r="H39" i="1"/>
  <c r="H8" i="1"/>
  <c r="G8" i="1"/>
  <c r="H33" i="1"/>
  <c r="G33" i="1"/>
  <c r="G35" i="1"/>
  <c r="H35" i="1"/>
  <c r="H40" i="1"/>
  <c r="G40" i="1"/>
  <c r="H154" i="1"/>
  <c r="G154" i="1"/>
  <c r="H65" i="1"/>
  <c r="G65" i="1"/>
  <c r="G75" i="1"/>
  <c r="G66" i="1"/>
  <c r="H81" i="1"/>
  <c r="G81" i="1"/>
  <c r="D91" i="1"/>
  <c r="H94" i="1"/>
  <c r="D96" i="1"/>
  <c r="G117" i="1"/>
  <c r="D124" i="1"/>
  <c r="G130" i="1"/>
  <c r="H145" i="1"/>
  <c r="G145" i="1"/>
  <c r="D155" i="1"/>
  <c r="H158" i="1"/>
  <c r="D160" i="1"/>
  <c r="G171" i="1"/>
  <c r="H194" i="1"/>
  <c r="G194" i="1"/>
  <c r="H196" i="1"/>
  <c r="G205" i="1"/>
  <c r="G220" i="1"/>
  <c r="H220" i="1"/>
  <c r="H73" i="1"/>
  <c r="G73" i="1"/>
  <c r="H178" i="1"/>
  <c r="G178" i="1"/>
  <c r="G200" i="1"/>
  <c r="H200" i="1"/>
  <c r="G165" i="1"/>
  <c r="G184" i="1"/>
  <c r="H184" i="1"/>
  <c r="H209" i="1"/>
  <c r="G209" i="1"/>
  <c r="H213" i="1"/>
  <c r="G213" i="1"/>
  <c r="H78" i="1"/>
  <c r="H142" i="1"/>
  <c r="D6" i="1"/>
  <c r="D10" i="1"/>
  <c r="D14" i="1"/>
  <c r="D18" i="1"/>
  <c r="D22" i="1"/>
  <c r="D26" i="1"/>
  <c r="D30" i="1"/>
  <c r="D34" i="1"/>
  <c r="D38" i="1"/>
  <c r="D42" i="1"/>
  <c r="D46" i="1"/>
  <c r="D50" i="1"/>
  <c r="D54" i="1"/>
  <c r="D58" i="1"/>
  <c r="D67" i="1"/>
  <c r="H70" i="1"/>
  <c r="D72" i="1"/>
  <c r="G83" i="1"/>
  <c r="H88" i="1"/>
  <c r="G93" i="1"/>
  <c r="D100" i="1"/>
  <c r="G106" i="1"/>
  <c r="H116" i="1"/>
  <c r="H121" i="1"/>
  <c r="G121" i="1"/>
  <c r="D131" i="1"/>
  <c r="H134" i="1"/>
  <c r="D136" i="1"/>
  <c r="G147" i="1"/>
  <c r="H152" i="1"/>
  <c r="G157" i="1"/>
  <c r="D164" i="1"/>
  <c r="G170" i="1"/>
  <c r="H193" i="1"/>
  <c r="G193" i="1"/>
  <c r="D195" i="1"/>
  <c r="H204" i="1"/>
  <c r="H137" i="1"/>
  <c r="G137" i="1"/>
  <c r="G139" i="1"/>
  <c r="H197" i="1"/>
  <c r="G197" i="1"/>
  <c r="H217" i="1"/>
  <c r="G217" i="1"/>
  <c r="H177" i="1"/>
  <c r="G177" i="1"/>
  <c r="H179" i="1"/>
  <c r="G179" i="1"/>
  <c r="G77" i="1"/>
  <c r="D84" i="1"/>
  <c r="H105" i="1"/>
  <c r="G105" i="1"/>
  <c r="D115" i="1"/>
  <c r="H118" i="1"/>
  <c r="D120" i="1"/>
  <c r="G141" i="1"/>
  <c r="D148" i="1"/>
  <c r="H169" i="1"/>
  <c r="G169" i="1"/>
  <c r="H181" i="1"/>
  <c r="G181" i="1"/>
  <c r="G212" i="1"/>
  <c r="H212" i="1"/>
  <c r="G101" i="1"/>
  <c r="G114" i="1"/>
  <c r="H129" i="1"/>
  <c r="G129" i="1"/>
  <c r="H144" i="1"/>
  <c r="H64" i="1"/>
  <c r="D76" i="1"/>
  <c r="H92" i="1"/>
  <c r="H97" i="1"/>
  <c r="G97" i="1"/>
  <c r="D107" i="1"/>
  <c r="D112" i="1"/>
  <c r="G123" i="1"/>
  <c r="H128" i="1"/>
  <c r="D140" i="1"/>
  <c r="H156" i="1"/>
  <c r="H161" i="1"/>
  <c r="G161" i="1"/>
  <c r="D176" i="1"/>
  <c r="G192" i="1"/>
  <c r="H192" i="1"/>
  <c r="H201" i="1"/>
  <c r="G201" i="1"/>
  <c r="H203" i="1"/>
  <c r="G203" i="1"/>
  <c r="H80" i="1"/>
  <c r="H108" i="1"/>
  <c r="H113" i="1"/>
  <c r="G113" i="1"/>
  <c r="H89" i="1"/>
  <c r="G89" i="1"/>
  <c r="H153" i="1"/>
  <c r="G153" i="1"/>
  <c r="H166" i="1"/>
  <c r="H185" i="1"/>
  <c r="G185" i="1"/>
  <c r="H187" i="1"/>
  <c r="G187" i="1"/>
  <c r="H210" i="1"/>
  <c r="G210" i="1"/>
  <c r="H226" i="1"/>
  <c r="G226" i="1"/>
  <c r="H225" i="1"/>
  <c r="G225" i="1"/>
  <c r="H216" i="1"/>
  <c r="G219" i="1"/>
  <c r="G222" i="1"/>
  <c r="H224" i="1"/>
  <c r="G224" i="1"/>
  <c r="G227" i="1"/>
  <c r="D208" i="1"/>
  <c r="D211" i="1"/>
  <c r="H228" i="1"/>
  <c r="G228" i="1"/>
  <c r="G148" i="1" l="1"/>
  <c r="H148" i="1"/>
  <c r="G72" i="1"/>
  <c r="H72" i="1"/>
  <c r="H38" i="1"/>
  <c r="G38" i="1"/>
  <c r="H6" i="1"/>
  <c r="G6" i="1"/>
  <c r="H155" i="1"/>
  <c r="G155" i="1"/>
  <c r="H91" i="1"/>
  <c r="G91" i="1"/>
  <c r="H58" i="1"/>
  <c r="G58" i="1"/>
  <c r="H26" i="1"/>
  <c r="G26" i="1"/>
  <c r="G120" i="1"/>
  <c r="H120" i="1"/>
  <c r="G100" i="1"/>
  <c r="H100" i="1"/>
  <c r="H54" i="1"/>
  <c r="G54" i="1"/>
  <c r="H195" i="1"/>
  <c r="G195" i="1"/>
  <c r="G136" i="1"/>
  <c r="H136" i="1"/>
  <c r="H50" i="1"/>
  <c r="G50" i="1"/>
  <c r="H18" i="1"/>
  <c r="G18" i="1"/>
  <c r="G124" i="1"/>
  <c r="H124" i="1"/>
  <c r="H67" i="1"/>
  <c r="G67" i="1"/>
  <c r="H30" i="1"/>
  <c r="G30" i="1"/>
  <c r="G140" i="1"/>
  <c r="H140" i="1"/>
  <c r="H22" i="1"/>
  <c r="G22" i="1"/>
  <c r="H211" i="1"/>
  <c r="G211" i="1"/>
  <c r="H46" i="1"/>
  <c r="G46" i="1"/>
  <c r="H14" i="1"/>
  <c r="G14" i="1"/>
  <c r="G164" i="1"/>
  <c r="H164" i="1"/>
  <c r="H34" i="1"/>
  <c r="G34" i="1"/>
  <c r="G76" i="1"/>
  <c r="H76" i="1"/>
  <c r="H115" i="1"/>
  <c r="G115" i="1"/>
  <c r="G112" i="1"/>
  <c r="H112" i="1"/>
  <c r="G208" i="1"/>
  <c r="H208" i="1"/>
  <c r="G176" i="1"/>
  <c r="H176" i="1"/>
  <c r="H107" i="1"/>
  <c r="G107" i="1"/>
  <c r="G84" i="1"/>
  <c r="H84" i="1"/>
  <c r="H131" i="1"/>
  <c r="G131" i="1"/>
  <c r="H42" i="1"/>
  <c r="G42" i="1"/>
  <c r="H10" i="1"/>
  <c r="G10" i="1"/>
  <c r="G160" i="1"/>
  <c r="H160" i="1"/>
  <c r="G96" i="1"/>
  <c r="H9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A1" authorId="0" shapeId="0" xr:uid="{00000000-0006-0000-0000-000001000000}">
      <text>
        <r>
          <rPr>
            <b/>
            <sz val="9"/>
            <rFont val="宋体"/>
            <charset val="134"/>
          </rPr>
          <t>acer:</t>
        </r>
        <r>
          <rPr>
            <sz val="9"/>
            <rFont val="宋体"/>
            <charset val="134"/>
          </rPr>
          <t xml:space="preserve">
标橙：参考国信《大类资产配置框架：“货币+信用”风火轮
标灰：参考任泽平《改良的中国投资时钟》
</t>
        </r>
      </text>
    </comment>
    <comment ref="N1" authorId="0" shapeId="0" xr:uid="{00000000-0006-0000-0000-000002000000}">
      <text>
        <r>
          <rPr>
            <b/>
            <sz val="9"/>
            <rFont val="宋体"/>
            <charset val="134"/>
          </rPr>
          <t>acer:</t>
        </r>
        <r>
          <rPr>
            <sz val="9"/>
            <rFont val="宋体"/>
            <charset val="134"/>
          </rPr>
          <t xml:space="preserve">
1、2011年11月：社融公布频度低造成的噪音，导致2011年11月出现了一个月的“萧条”期（于滞涨与复苏之间），与常识不符，调整为“复苏”。
2、2013年6月：社融公布频度低造成的噪音，导致2011年11月出现了一个月的“萧条”期（与复苏与滞涨之间），与常识不符，调整为“复苏”。
</t>
        </r>
      </text>
    </comment>
    <comment ref="E2" authorId="0" shapeId="0" xr:uid="{00000000-0006-0000-0000-000003000000}">
      <text>
        <r>
          <rPr>
            <b/>
            <sz val="9"/>
            <color rgb="FF000000"/>
            <rFont val="宋体"/>
            <charset val="134"/>
          </rPr>
          <t>acer: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Rule Summary:</t>
        </r>
      </text>
    </comment>
    <comment ref="F2" authorId="0" shapeId="0" xr:uid="{00000000-0006-0000-0000-000004000000}">
      <text>
        <r>
          <rPr>
            <b/>
            <sz val="9"/>
            <color rgb="FF000000"/>
            <rFont val="宋体"/>
            <charset val="134"/>
          </rPr>
          <t>acer: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这里说的紧与宽，在某些时期里是绝对的，但在某些时期里，是</t>
        </r>
        <r>
          <rPr>
            <sz val="9"/>
            <color rgb="FF000000"/>
            <rFont val="宋体"/>
            <charset val="134"/>
          </rPr>
          <t>“</t>
        </r>
        <r>
          <rPr>
            <sz val="9"/>
            <color rgb="FF000000"/>
            <rFont val="宋体"/>
            <charset val="134"/>
          </rPr>
          <t>相对的紧与宽</t>
        </r>
        <r>
          <rPr>
            <sz val="9"/>
            <color rgb="FF000000"/>
            <rFont val="宋体"/>
            <charset val="134"/>
          </rPr>
          <t>”</t>
        </r>
        <r>
          <rPr>
            <sz val="9"/>
            <color rgb="FF000000"/>
            <rFont val="宋体"/>
            <charset val="134"/>
          </rPr>
          <t>。如</t>
        </r>
        <r>
          <rPr>
            <sz val="9"/>
            <color rgb="FF000000"/>
            <rFont val="宋体"/>
            <charset val="134"/>
          </rPr>
          <t>2020</t>
        </r>
        <r>
          <rPr>
            <sz val="9"/>
            <color rgb="FF000000"/>
            <rFont val="宋体"/>
            <charset val="134"/>
          </rPr>
          <t>年</t>
        </r>
        <r>
          <rPr>
            <sz val="9"/>
            <color rgb="FF000000"/>
            <rFont val="宋体"/>
            <charset val="134"/>
          </rPr>
          <t>8</t>
        </r>
        <r>
          <rPr>
            <sz val="9"/>
            <color rgb="FF000000"/>
            <rFont val="宋体"/>
            <charset val="134"/>
          </rPr>
          <t>月到</t>
        </r>
        <r>
          <rPr>
            <sz val="9"/>
            <color rgb="FF000000"/>
            <rFont val="宋体"/>
            <charset val="134"/>
          </rPr>
          <t>10</t>
        </r>
        <r>
          <rPr>
            <sz val="9"/>
            <color rgb="FF000000"/>
            <rFont val="宋体"/>
            <charset val="134"/>
          </rPr>
          <t>月以后，货币政策从疫情时期的超常宽松，慢慢回归常态（中央政治会议的相关表述），这不是</t>
        </r>
        <r>
          <rPr>
            <sz val="9"/>
            <color rgb="FF000000"/>
            <rFont val="宋体"/>
            <charset val="134"/>
          </rPr>
          <t>“</t>
        </r>
        <r>
          <rPr>
            <sz val="9"/>
            <color rgb="FF000000"/>
            <rFont val="宋体"/>
            <charset val="134"/>
          </rPr>
          <t>绝对的紧货币</t>
        </r>
        <r>
          <rPr>
            <sz val="9"/>
            <color rgb="FF000000"/>
            <rFont val="宋体"/>
            <charset val="134"/>
          </rPr>
          <t>”</t>
        </r>
        <r>
          <rPr>
            <sz val="9"/>
            <color rgb="FF000000"/>
            <rFont val="宋体"/>
            <charset val="134"/>
          </rPr>
          <t>，但却是</t>
        </r>
        <r>
          <rPr>
            <sz val="9"/>
            <color rgb="FF000000"/>
            <rFont val="宋体"/>
            <charset val="134"/>
          </rPr>
          <t>“</t>
        </r>
        <r>
          <rPr>
            <sz val="9"/>
            <color rgb="FF000000"/>
            <rFont val="宋体"/>
            <charset val="134"/>
          </rPr>
          <t>相对的紧货币</t>
        </r>
        <r>
          <rPr>
            <sz val="9"/>
            <color rgb="FF000000"/>
            <rFont val="宋体"/>
            <charset val="134"/>
          </rPr>
          <t>”</t>
        </r>
        <r>
          <rPr>
            <sz val="9"/>
            <color rgb="FF000000"/>
            <rFont val="宋体"/>
            <charset val="134"/>
          </rPr>
          <t>。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G2" authorId="0" shapeId="0" xr:uid="{00000000-0006-0000-0000-000005000000}">
      <text>
        <r>
          <rPr>
            <sz val="9"/>
            <rFont val="宋体"/>
            <charset val="134"/>
          </rPr>
          <t>已核对，底层DATA可以参考“信用决策”\《M2.XLS》</t>
        </r>
      </text>
    </comment>
    <comment ref="H2" authorId="0" shapeId="0" xr:uid="{00000000-0006-0000-0000-000006000000}">
      <text>
        <r>
          <rPr>
            <b/>
            <sz val="9"/>
            <color rgb="FF000000"/>
            <rFont val="宋体"/>
            <charset val="134"/>
          </rPr>
          <t>acer: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已核对，底层</t>
        </r>
        <r>
          <rPr>
            <sz val="9"/>
            <color rgb="FF000000"/>
            <rFont val="宋体"/>
            <charset val="134"/>
          </rPr>
          <t>DATA</t>
        </r>
        <r>
          <rPr>
            <sz val="9"/>
            <color rgb="FF000000"/>
            <rFont val="宋体"/>
            <charset val="134"/>
          </rPr>
          <t>可以参考</t>
        </r>
        <r>
          <rPr>
            <sz val="9"/>
            <color rgb="FF000000"/>
            <rFont val="宋体"/>
            <charset val="134"/>
          </rPr>
          <t>“</t>
        </r>
        <r>
          <rPr>
            <sz val="9"/>
            <color rgb="FF000000"/>
            <rFont val="宋体"/>
            <charset val="134"/>
          </rPr>
          <t>信用决策</t>
        </r>
        <r>
          <rPr>
            <sz val="9"/>
            <color rgb="FF000000"/>
            <rFont val="宋体"/>
            <charset val="134"/>
          </rPr>
          <t>”\</t>
        </r>
        <r>
          <rPr>
            <sz val="9"/>
            <color rgb="FF000000"/>
            <rFont val="宋体"/>
            <charset val="134"/>
          </rPr>
          <t>《当月社会融资规模增量</t>
        </r>
        <r>
          <rPr>
            <sz val="9"/>
            <color rgb="FF000000"/>
            <rFont val="宋体"/>
            <charset val="134"/>
          </rPr>
          <t>.XLS</t>
        </r>
        <r>
          <rPr>
            <sz val="9"/>
            <color rgb="FF000000"/>
            <rFont val="宋体"/>
            <charset val="134"/>
          </rPr>
          <t>》</t>
        </r>
        <r>
          <rPr>
            <sz val="9"/>
            <color rgb="FF000000"/>
            <rFont val="宋体"/>
            <charset val="134"/>
          </rPr>
          <t xml:space="preserve">
</t>
        </r>
      </text>
    </comment>
    <comment ref="J2" authorId="0" shapeId="0" xr:uid="{00000000-0006-0000-0000-000007000000}">
      <text>
        <r>
          <rPr>
            <b/>
            <sz val="9"/>
            <color rgb="FF000000"/>
            <rFont val="宋体"/>
            <charset val="134"/>
          </rPr>
          <t>acer: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规则：在</t>
        </r>
        <r>
          <rPr>
            <sz val="9"/>
            <color rgb="FF000000"/>
            <rFont val="宋体"/>
            <charset val="134"/>
          </rPr>
          <t>2016</t>
        </r>
        <r>
          <rPr>
            <sz val="9"/>
            <color rgb="FF000000"/>
            <rFont val="宋体"/>
            <charset val="134"/>
          </rPr>
          <t>年</t>
        </r>
        <r>
          <rPr>
            <sz val="9"/>
            <color rgb="FF000000"/>
            <rFont val="宋体"/>
            <charset val="134"/>
          </rPr>
          <t>1</t>
        </r>
        <r>
          <rPr>
            <sz val="9"/>
            <color rgb="FF000000"/>
            <rFont val="宋体"/>
            <charset val="134"/>
          </rPr>
          <t>月之前，社融存量同比频度不高，主要以社融存量同比</t>
        </r>
        <r>
          <rPr>
            <sz val="9"/>
            <color rgb="FF000000"/>
            <rFont val="宋体"/>
            <charset val="134"/>
          </rPr>
          <t>(</t>
        </r>
        <r>
          <rPr>
            <sz val="9"/>
            <color rgb="FF000000"/>
            <rFont val="宋体"/>
            <charset val="134"/>
          </rPr>
          <t>年度</t>
        </r>
        <r>
          <rPr>
            <sz val="9"/>
            <color rgb="FF000000"/>
            <rFont val="宋体"/>
            <charset val="134"/>
          </rPr>
          <t>) + M2</t>
        </r>
        <r>
          <rPr>
            <sz val="9"/>
            <color rgb="FF000000"/>
            <rFont val="宋体"/>
            <charset val="134"/>
          </rPr>
          <t>同比定位经济周期。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 xml:space="preserve">      </t>
        </r>
        <r>
          <rPr>
            <sz val="9"/>
            <color rgb="FF000000"/>
            <rFont val="宋体"/>
            <charset val="134"/>
          </rPr>
          <t>在</t>
        </r>
        <r>
          <rPr>
            <sz val="9"/>
            <color rgb="FF000000"/>
            <rFont val="宋体"/>
            <charset val="134"/>
          </rPr>
          <t>2016</t>
        </r>
        <r>
          <rPr>
            <sz val="9"/>
            <color rgb="FF000000"/>
            <rFont val="宋体"/>
            <charset val="134"/>
          </rPr>
          <t>年</t>
        </r>
        <r>
          <rPr>
            <sz val="9"/>
            <color rgb="FF000000"/>
            <rFont val="宋体"/>
            <charset val="134"/>
          </rPr>
          <t>1</t>
        </r>
        <r>
          <rPr>
            <sz val="9"/>
            <color rgb="FF000000"/>
            <rFont val="宋体"/>
            <charset val="134"/>
          </rPr>
          <t>月之后，主要以社融存量同比</t>
        </r>
        <r>
          <rPr>
            <sz val="9"/>
            <color rgb="FF000000"/>
            <rFont val="宋体"/>
            <charset val="134"/>
          </rPr>
          <t>(</t>
        </r>
        <r>
          <rPr>
            <sz val="9"/>
            <color rgb="FF000000"/>
            <rFont val="宋体"/>
            <charset val="134"/>
          </rPr>
          <t>月度）定位经济周期。</t>
        </r>
      </text>
    </comment>
    <comment ref="E27" authorId="0" shapeId="0" xr:uid="{00000000-0006-0000-0000-000008000000}">
      <text>
        <r>
          <rPr>
            <b/>
            <sz val="9"/>
            <color rgb="FF000000"/>
            <rFont val="宋体"/>
            <charset val="134"/>
          </rPr>
          <t>acer: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1</t>
        </r>
        <r>
          <rPr>
            <sz val="9"/>
            <color rgb="FF000000"/>
            <rFont val="宋体"/>
            <charset val="134"/>
          </rPr>
          <t>、对于之前一直没有发行，重启的代表价值比发行利率重要。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9"/>
            <color rgb="FF000000"/>
            <rFont val="宋体"/>
            <charset val="134"/>
          </rPr>
          <t>2</t>
        </r>
        <r>
          <rPr>
            <sz val="9"/>
            <color rgb="FF000000"/>
            <rFont val="宋体"/>
            <charset val="134"/>
          </rPr>
          <t>、若已经重启为常太了，那发行利率更重要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Y2" authorId="0" shapeId="0" xr:uid="{00000000-0006-0000-0300-000001000000}">
      <text>
        <r>
          <rPr>
            <b/>
            <sz val="9"/>
            <rFont val="宋体"/>
            <charset val="134"/>
          </rPr>
          <t>acer:</t>
        </r>
        <r>
          <rPr>
            <sz val="9"/>
            <rFont val="宋体"/>
            <charset val="134"/>
          </rPr>
          <t xml:space="preserve">
认为补充，为了和OTHER几类资产的行数对Q</t>
        </r>
      </text>
    </comment>
  </commentList>
</comments>
</file>

<file path=xl/sharedStrings.xml><?xml version="1.0" encoding="utf-8"?>
<sst xmlns="http://schemas.openxmlformats.org/spreadsheetml/2006/main" count="2180" uniqueCount="245">
  <si>
    <t>月</t>
  </si>
  <si>
    <t>日期转换</t>
  </si>
  <si>
    <t>货币周期</t>
  </si>
  <si>
    <t>信用周期</t>
  </si>
  <si>
    <t>组合周期</t>
  </si>
  <si>
    <t>组合周期
(对应美林时钟)</t>
  </si>
  <si>
    <t>组合周期
(合并某些时点滞后导致的噪音)
【最终结论】</t>
  </si>
  <si>
    <t>大类资产表现（年化收益率）</t>
  </si>
  <si>
    <t>细类资产表现（月收益率）</t>
  </si>
  <si>
    <t>定性判别</t>
  </si>
  <si>
    <t>最终结论</t>
  </si>
  <si>
    <t>M2同比</t>
  </si>
  <si>
    <t>社融当月增量
（亿）</t>
  </si>
  <si>
    <t>社融当年累计存量同比
(已核)</t>
  </si>
  <si>
    <t>股票</t>
  </si>
  <si>
    <t>债</t>
  </si>
  <si>
    <t>商品</t>
  </si>
  <si>
    <t>现金</t>
  </si>
  <si>
    <t>股票
(板块1)</t>
  </si>
  <si>
    <t>股票
(板块2)</t>
  </si>
  <si>
    <t>股票
(板块3)</t>
  </si>
  <si>
    <t>股票
(板块4)</t>
  </si>
  <si>
    <t>债
(类别1）</t>
  </si>
  <si>
    <t>债
(类别2）</t>
  </si>
  <si>
    <t>商品
（农产品）</t>
  </si>
  <si>
    <t>商品
（原油）</t>
  </si>
  <si>
    <t>商品
（金属）</t>
  </si>
  <si>
    <t>商品
（黄金）</t>
  </si>
  <si>
    <t>宽货币</t>
  </si>
  <si>
    <t>/</t>
  </si>
  <si>
    <t>-宽信用</t>
  </si>
  <si>
    <t>复苏</t>
  </si>
  <si>
    <r>
      <rPr>
        <sz val="9"/>
        <color theme="1"/>
        <rFont val="仿宋"/>
        <charset val="134"/>
      </rPr>
      <t>1年期中央银行票据</t>
    </r>
    <r>
      <rPr>
        <b/>
        <sz val="9"/>
        <color theme="5"/>
        <rFont val="仿宋"/>
        <charset val="134"/>
      </rPr>
      <t>重启发行</t>
    </r>
    <r>
      <rPr>
        <sz val="9"/>
        <color theme="1"/>
        <rFont val="仿宋"/>
        <charset val="134"/>
      </rPr>
      <t>，宣告了货币政策目标由</t>
    </r>
    <r>
      <rPr>
        <b/>
        <sz val="9"/>
        <color theme="5"/>
        <rFont val="仿宋"/>
        <charset val="134"/>
      </rPr>
      <t>松转紧</t>
    </r>
    <r>
      <rPr>
        <sz val="9"/>
        <color theme="1"/>
        <rFont val="仿宋"/>
        <charset val="134"/>
      </rPr>
      <t>;</t>
    </r>
  </si>
  <si>
    <t>信号确认（数量型政策宣布：立刻进行周期变换）</t>
  </si>
  <si>
    <t>紧货币</t>
  </si>
  <si>
    <t>过热</t>
  </si>
  <si>
    <t>1、社融:无
2、M2同比：到2003年8月才见顶</t>
  </si>
  <si>
    <t>-紧信用</t>
  </si>
  <si>
    <t>滞涨</t>
  </si>
  <si>
    <r>
      <rPr>
        <sz val="9"/>
        <color rgb="FF000000"/>
        <rFont val="仿宋"/>
        <charset val="134"/>
      </rPr>
      <t>1年期中央银行票据发行利率</t>
    </r>
    <r>
      <rPr>
        <b/>
        <sz val="9"/>
        <color theme="5"/>
        <rFont val="仿宋"/>
        <charset val="134"/>
      </rPr>
      <t>被牵引下行</t>
    </r>
    <r>
      <rPr>
        <sz val="9"/>
        <color rgb="FF000000"/>
        <rFont val="仿宋"/>
        <charset val="134"/>
      </rPr>
      <t>，宣告了货币政策目标</t>
    </r>
    <r>
      <rPr>
        <b/>
        <sz val="9"/>
        <color theme="5"/>
        <rFont val="仿宋"/>
        <charset val="134"/>
      </rPr>
      <t>由紧转松</t>
    </r>
    <r>
      <rPr>
        <sz val="9"/>
        <color rgb="FF000000"/>
        <rFont val="仿宋"/>
        <charset val="134"/>
      </rPr>
      <t>;
【备注：从下月开始，央票利率、国债收益率均进入了下降通道】</t>
    </r>
  </si>
  <si>
    <t>萧条</t>
  </si>
  <si>
    <t>信号确认（连续3个月同向变化）</t>
  </si>
  <si>
    <t>1、年度社融存量同比：2005年12月见底
2、M2同比：2003年8月-2004年10月，走低；2004年10月-2005年12月，走高。
【先共振，后背离，以社融为准】</t>
  </si>
  <si>
    <r>
      <rPr>
        <sz val="9"/>
        <color rgb="FF000000"/>
        <rFont val="仿宋"/>
        <charset val="134"/>
      </rPr>
      <t>1年期中央银行票据</t>
    </r>
    <r>
      <rPr>
        <b/>
        <sz val="9"/>
        <color theme="5"/>
        <rFont val="仿宋"/>
        <charset val="134"/>
      </rPr>
      <t>发行利率上行</t>
    </r>
    <r>
      <rPr>
        <sz val="9"/>
        <color rgb="FF000000"/>
        <rFont val="仿宋"/>
        <charset val="134"/>
      </rPr>
      <t>，宣告了货币政策由</t>
    </r>
    <r>
      <rPr>
        <b/>
        <sz val="9"/>
        <color theme="5"/>
        <rFont val="仿宋"/>
        <charset val="134"/>
      </rPr>
      <t>松转紧</t>
    </r>
    <r>
      <rPr>
        <sz val="9"/>
        <color rgb="FF000000"/>
        <rFont val="仿宋"/>
        <charset val="134"/>
      </rPr>
      <t>。
【备注：从下月开始，央票利率、国债收益率均进入了上SHENG通道】</t>
    </r>
  </si>
  <si>
    <t>1、年度社融存量同比：于2007年12月见顶
2、M2同比：震荡走平
【背离，以社融为准】
【报告定义2008年2月见顶，相差不大】</t>
  </si>
  <si>
    <r>
      <rPr>
        <sz val="9"/>
        <color rgb="FF000000"/>
        <rFont val="仿宋"/>
        <charset val="134"/>
      </rPr>
      <t>中央银行宣布了</t>
    </r>
    <r>
      <rPr>
        <b/>
        <sz val="9"/>
        <color theme="5"/>
        <rFont val="仿宋"/>
        <charset val="134"/>
      </rPr>
      <t>" 双率齐降”</t>
    </r>
    <r>
      <rPr>
        <sz val="9"/>
        <color rgb="FF000000"/>
        <rFont val="仿宋"/>
        <charset val="134"/>
      </rPr>
      <t>政策，即货款利率下调、法定存款准备金率下调，货币政策</t>
    </r>
    <r>
      <rPr>
        <b/>
        <sz val="9"/>
        <color theme="5"/>
        <rFont val="仿宋"/>
        <charset val="134"/>
      </rPr>
      <t>由紧转松</t>
    </r>
    <r>
      <rPr>
        <sz val="9"/>
        <color rgb="FF000000"/>
        <rFont val="仿宋"/>
        <charset val="134"/>
      </rPr>
      <t>。</t>
    </r>
  </si>
  <si>
    <t>信号确认（价格型政策宣布：立刻进行周期变换）</t>
  </si>
  <si>
    <t>1、年度社融存量同比：于2008年12月见底
2、M2同比：震荡走低，但先于社融于2008年12月就开始反弹
【整体共振，局部小程度背离，以社融为准】</t>
  </si>
  <si>
    <r>
      <rPr>
        <sz val="9"/>
        <color theme="1"/>
        <rFont val="仿宋"/>
        <charset val="134"/>
      </rPr>
      <t>中央银行</t>
    </r>
    <r>
      <rPr>
        <b/>
        <sz val="9"/>
        <color theme="5"/>
        <rFont val="仿宋"/>
        <charset val="134"/>
      </rPr>
      <t>重启启动</t>
    </r>
    <r>
      <rPr>
        <sz val="9"/>
        <color theme="1"/>
        <rFont val="仿宋"/>
        <charset val="134"/>
      </rPr>
      <t>了1年期中央银行票据发行，并引导</t>
    </r>
    <r>
      <rPr>
        <b/>
        <sz val="9"/>
        <color theme="5"/>
        <rFont val="仿宋"/>
        <charset val="134"/>
      </rPr>
      <t>发行利率上行</t>
    </r>
    <r>
      <rPr>
        <sz val="9"/>
        <color theme="1"/>
        <rFont val="仿宋"/>
        <charset val="134"/>
      </rPr>
      <t>，宣告了货币政策目标由</t>
    </r>
    <r>
      <rPr>
        <b/>
        <sz val="9"/>
        <color theme="5"/>
        <rFont val="仿宋"/>
        <charset val="134"/>
      </rPr>
      <t>松转紧</t>
    </r>
    <r>
      <rPr>
        <sz val="9"/>
        <color theme="1"/>
        <rFont val="仿宋"/>
        <charset val="134"/>
      </rPr>
      <t>;
【备注：从下月开始，央票利率、国债收益率均进入了上行通道】</t>
    </r>
  </si>
  <si>
    <t>信号确认（连续3个月基本同向变化）</t>
  </si>
  <si>
    <t>1、年度社融存量同比：于2009年12月见顶
2、M2同比：走高
【共振】</t>
  </si>
  <si>
    <t>信号印证（货币政策宣布）</t>
  </si>
  <si>
    <r>
      <rPr>
        <sz val="9"/>
        <color theme="1"/>
        <rFont val="仿宋"/>
        <charset val="134"/>
      </rPr>
      <t>1、年度社融存量同比：于2009年底至2011年底（2YER）均在下行，于2012年止住跌势略有上升。期间以M2同比的小周期变动画出几个信用CYCLE
2、M2同比：
(</t>
    </r>
    <r>
      <rPr>
        <b/>
        <sz val="9"/>
        <color theme="1"/>
        <rFont val="仿宋"/>
        <charset val="134"/>
      </rPr>
      <t>1)、M2同比于2010年7月见底，符合认知</t>
    </r>
  </si>
  <si>
    <r>
      <rPr>
        <sz val="9"/>
        <color theme="1"/>
        <rFont val="仿宋"/>
        <charset val="134"/>
      </rPr>
      <t>1、年度社融存量同比：于2009年底至2011年底均在下行，于2012年止住跌势略有上升。期间以M2同比的小周期变动画出几个信用CYCLE
2、M2同比：
(2)</t>
    </r>
    <r>
      <rPr>
        <b/>
        <sz val="9"/>
        <color theme="1"/>
        <rFont val="仿宋"/>
        <charset val="134"/>
      </rPr>
      <t>、M2同比于2010年12月见顶，符合认知</t>
    </r>
  </si>
  <si>
    <t>信号印证（货币政策宣布，立刻进行周期转换）</t>
  </si>
  <si>
    <r>
      <rPr>
        <sz val="9"/>
        <color theme="1"/>
        <rFont val="仿宋"/>
        <charset val="134"/>
      </rPr>
      <t>1年期中央银行票据</t>
    </r>
    <r>
      <rPr>
        <b/>
        <sz val="9"/>
        <color theme="5"/>
        <rFont val="仿宋"/>
        <charset val="134"/>
      </rPr>
      <t>发行利率下调</t>
    </r>
    <r>
      <rPr>
        <sz val="9"/>
        <color theme="1"/>
        <rFont val="仿宋"/>
        <charset val="134"/>
      </rPr>
      <t>，并降准，宣告了货币政策目标由</t>
    </r>
    <r>
      <rPr>
        <b/>
        <sz val="9"/>
        <color theme="5"/>
        <rFont val="仿宋"/>
        <charset val="134"/>
      </rPr>
      <t>紧转松</t>
    </r>
    <r>
      <rPr>
        <sz val="9"/>
        <color theme="1"/>
        <rFont val="仿宋"/>
        <charset val="134"/>
      </rPr>
      <t>;</t>
    </r>
  </si>
  <si>
    <t>1、年度社融存量同比：2011年12月见底
2、M2同比：在2012年1月达到低点（时点与社融相差不大）
【共振】
【修正：应该到此紧信用】</t>
  </si>
  <si>
    <t>信号确认（货币政策宣布）</t>
  </si>
  <si>
    <r>
      <rPr>
        <sz val="9"/>
        <color theme="1"/>
        <rFont val="仿宋"/>
        <charset val="134"/>
      </rPr>
      <t>1、年度社融存量同比：在2012年底后略有上升
2、M2同比：于2013年5月见顶</t>
    </r>
    <r>
      <rPr>
        <b/>
        <sz val="9"/>
        <color theme="1"/>
        <rFont val="仿宋"/>
        <charset val="134"/>
      </rPr>
      <t xml:space="preserve">
</t>
    </r>
    <r>
      <rPr>
        <sz val="9"/>
        <color theme="1"/>
        <rFont val="仿宋"/>
        <charset val="134"/>
      </rPr>
      <t>【共振】【由于社融为年度数据，频度较低，以M2同比为主要参考】</t>
    </r>
  </si>
  <si>
    <r>
      <rPr>
        <b/>
        <sz val="9"/>
        <color theme="5"/>
        <rFont val="仿宋"/>
        <charset val="134"/>
      </rPr>
      <t>公开市场逆回购利率</t>
    </r>
    <r>
      <rPr>
        <sz val="9"/>
        <color theme="1"/>
        <rFont val="仿宋"/>
        <charset val="134"/>
      </rPr>
      <t>被上调，宣告了货币政策目标由松转紧;</t>
    </r>
  </si>
  <si>
    <r>
      <rPr>
        <sz val="9"/>
        <color theme="1"/>
        <rFont val="仿宋"/>
        <charset val="134"/>
      </rPr>
      <t>1、年度社融存量同比 ：在2012年底后略有上升后，于2013年开始又再次进入了下降通道，直至2015年6月底。期间以M2同比的小周期变动画出几个信用CYCLE
2、M2同比：
(1)、</t>
    </r>
    <r>
      <rPr>
        <b/>
        <sz val="9"/>
        <color theme="1"/>
        <rFont val="仿宋"/>
        <charset val="134"/>
      </rPr>
      <t>M2同比于2014年3月见底</t>
    </r>
  </si>
  <si>
    <r>
      <rPr>
        <sz val="9"/>
        <color theme="1"/>
        <rFont val="仿宋"/>
        <charset val="134"/>
      </rPr>
      <t>国务院会议宣布适当</t>
    </r>
    <r>
      <rPr>
        <b/>
        <sz val="9"/>
        <color theme="5"/>
        <rFont val="仿宋"/>
        <charset val="134"/>
      </rPr>
      <t>降低县城农商行存准率</t>
    </r>
    <r>
      <rPr>
        <sz val="9"/>
        <color theme="1"/>
        <rFont val="仿宋"/>
        <charset val="134"/>
      </rPr>
      <t>，宣告了货币政策目标由</t>
    </r>
    <r>
      <rPr>
        <b/>
        <sz val="9"/>
        <color theme="5"/>
        <rFont val="仿宋"/>
        <charset val="134"/>
      </rPr>
      <t>紧转松</t>
    </r>
  </si>
  <si>
    <t>信号确认（货币政策宣布，立刻进行周期变换）</t>
  </si>
  <si>
    <r>
      <rPr>
        <sz val="9"/>
        <color theme="1"/>
        <rFont val="仿宋"/>
        <charset val="134"/>
      </rPr>
      <t>1、年度社融存量同比：在2012年略有上升后，于2013年开始又再次进入了下降通道，直至2015年6月底。期间以M2同比的小周期变动画出几个信用CYCLE
2、M2同比：
(2)、</t>
    </r>
    <r>
      <rPr>
        <b/>
        <sz val="9"/>
        <color theme="1"/>
        <rFont val="仿宋"/>
        <charset val="134"/>
      </rPr>
      <t>M2同比于2014年6月见顶，修正</t>
    </r>
  </si>
  <si>
    <r>
      <rPr>
        <sz val="9"/>
        <color theme="1"/>
        <rFont val="仿宋"/>
        <charset val="134"/>
      </rPr>
      <t>1、年度社融存量同比：在2012年略有上升后，于2013年开始又再次进入了下降通道，直至2015年6月底。期间以M2同比的小周期变动画出几个信用CYCLE
2、M2同比：
(3)、</t>
    </r>
    <r>
      <rPr>
        <b/>
        <sz val="9"/>
        <color theme="1"/>
        <rFont val="仿宋"/>
        <charset val="134"/>
      </rPr>
      <t>M2同比于2015年4月见底，修正</t>
    </r>
  </si>
  <si>
    <r>
      <rPr>
        <sz val="9"/>
        <color theme="1"/>
        <rFont val="仿宋"/>
        <charset val="134"/>
      </rPr>
      <t>1、年度社融存量同比：在2015年6月底后略有上升，于2016年1月见顶
2、</t>
    </r>
    <r>
      <rPr>
        <b/>
        <sz val="9"/>
        <color theme="1"/>
        <rFont val="仿宋"/>
        <charset val="134"/>
      </rPr>
      <t>M2同比：于2016年1月见顶
【共振】</t>
    </r>
  </si>
  <si>
    <t>备注：任的文章里，此次松货币的周期为2014.4-2016.7，但国信为2014.4-2017.1
【备注：若以MLF利率作为参考，国信的文章准确度较高，采用国信】</t>
  </si>
  <si>
    <r>
      <rPr>
        <b/>
        <sz val="11"/>
        <color theme="1"/>
        <rFont val="仿宋"/>
        <charset val="134"/>
      </rPr>
      <t>1、月度</t>
    </r>
    <r>
      <rPr>
        <sz val="9"/>
        <color theme="1"/>
        <rFont val="仿宋"/>
        <charset val="134"/>
      </rPr>
      <t>社融存量同比：持续走低，与2016年7月见底。
2、</t>
    </r>
    <r>
      <rPr>
        <b/>
        <sz val="9"/>
        <color theme="1"/>
        <rFont val="仿宋"/>
        <charset val="134"/>
      </rPr>
      <t>M2同比：于2016年7月见底
【共振】</t>
    </r>
  </si>
  <si>
    <r>
      <rPr>
        <sz val="9"/>
        <color theme="1"/>
        <rFont val="仿宋"/>
        <charset val="134"/>
      </rPr>
      <t>央行</t>
    </r>
    <r>
      <rPr>
        <b/>
        <sz val="9"/>
        <color theme="5"/>
        <rFont val="仿宋"/>
        <charset val="134"/>
      </rPr>
      <t>上调MIF操作利率</t>
    </r>
    <r>
      <rPr>
        <sz val="9"/>
        <color theme="1"/>
        <rFont val="仿宋"/>
        <charset val="134"/>
      </rPr>
      <t>，宣告了货币政策目标由</t>
    </r>
    <r>
      <rPr>
        <b/>
        <sz val="9"/>
        <color theme="5"/>
        <rFont val="仿宋"/>
        <charset val="134"/>
      </rPr>
      <t>松转紧 【待MLF DATA】</t>
    </r>
  </si>
  <si>
    <r>
      <rPr>
        <sz val="9"/>
        <color theme="1" tint="0.14999847407452621"/>
        <rFont val="仿宋"/>
        <charset val="134"/>
      </rPr>
      <t>1、月度社融存量同比：持续走高，于</t>
    </r>
    <r>
      <rPr>
        <b/>
        <sz val="9"/>
        <color theme="1" tint="0.14999847407452621"/>
        <rFont val="仿宋"/>
        <charset val="134"/>
      </rPr>
      <t>2017年1月</t>
    </r>
    <r>
      <rPr>
        <sz val="9"/>
        <color theme="1" tint="0.14999847407452621"/>
        <rFont val="仿宋"/>
        <charset val="134"/>
      </rPr>
      <t>底见顶
2、M2同比：于</t>
    </r>
    <r>
      <rPr>
        <b/>
        <sz val="9"/>
        <color theme="1" tint="0.14999847407452621"/>
        <rFont val="仿宋"/>
        <charset val="134"/>
      </rPr>
      <t>2016年11月先见底，与社融有一定背离，以社融为准
【先共振，后小幅度背离，以社融为准】</t>
    </r>
  </si>
  <si>
    <r>
      <rPr>
        <sz val="9"/>
        <color theme="1"/>
        <rFont val="仿宋"/>
        <charset val="134"/>
      </rPr>
      <t>央行</t>
    </r>
    <r>
      <rPr>
        <b/>
        <sz val="9"/>
        <color theme="5"/>
        <rFont val="仿宋"/>
        <charset val="134"/>
      </rPr>
      <t>降准置换中期借货便利，也降准</t>
    </r>
    <r>
      <rPr>
        <sz val="9"/>
        <color theme="1"/>
        <rFont val="仿宋"/>
        <charset val="134"/>
      </rPr>
      <t>，货币政策目标边际</t>
    </r>
    <r>
      <rPr>
        <b/>
        <sz val="9"/>
        <color theme="5"/>
        <rFont val="仿宋"/>
        <charset val="134"/>
      </rPr>
      <t>转松</t>
    </r>
    <r>
      <rPr>
        <sz val="9"/>
        <color theme="1"/>
        <rFont val="仿宋"/>
        <charset val="134"/>
      </rPr>
      <t xml:space="preserve">.
</t>
    </r>
    <r>
      <rPr>
        <b/>
        <sz val="9"/>
        <color rgb="FF7030A0"/>
        <rFont val="仿宋"/>
        <charset val="134"/>
      </rPr>
      <t>备注：从2018年4月后，参考“任”的结论。因国信报告的结论从2018.3月后宽货币就结束了。</t>
    </r>
  </si>
  <si>
    <r>
      <rPr>
        <sz val="9"/>
        <color rgb="FF000000"/>
        <rFont val="仿宋"/>
        <charset val="134"/>
      </rPr>
      <t>央行决定从7月5日起，</t>
    </r>
    <r>
      <rPr>
        <b/>
        <sz val="9"/>
        <color theme="5"/>
        <rFont val="仿宋"/>
        <charset val="134"/>
      </rPr>
      <t>下调</t>
    </r>
    <r>
      <rPr>
        <sz val="9"/>
        <color rgb="FF000000"/>
        <rFont val="仿宋"/>
        <charset val="134"/>
      </rPr>
      <t>国有大型商业银行、股份制商业央行、邮政储蓄银行、城市商业银行、非县城农业商业银行、外资银行人民存款准备金率0.5%，</t>
    </r>
    <r>
      <rPr>
        <b/>
        <sz val="9"/>
        <color theme="5"/>
        <rFont val="仿宋"/>
        <charset val="134"/>
      </rPr>
      <t>继续维持货币政策宽松</t>
    </r>
    <r>
      <rPr>
        <sz val="9"/>
        <color rgb="FF000000"/>
        <rFont val="仿宋"/>
        <charset val="134"/>
      </rPr>
      <t>。</t>
    </r>
  </si>
  <si>
    <t>信号印证（价格型政策宣布）</t>
  </si>
  <si>
    <r>
      <rPr>
        <b/>
        <sz val="9"/>
        <rFont val="仿宋"/>
        <charset val="134"/>
      </rPr>
      <t>信号印证（货币政策宣布）</t>
    </r>
    <r>
      <rPr>
        <sz val="9"/>
        <rFont val="仿宋"/>
        <charset val="134"/>
      </rPr>
      <t xml:space="preserve">
央行决定自10月15日起，</t>
    </r>
    <r>
      <rPr>
        <b/>
        <sz val="9"/>
        <rFont val="仿宋"/>
        <charset val="134"/>
      </rPr>
      <t>下调</t>
    </r>
    <r>
      <rPr>
        <sz val="9"/>
        <rFont val="仿宋"/>
        <charset val="134"/>
      </rPr>
      <t>大型商业银行、股份制商业央行、城市商业银行、非县城农业商业银行、外资银行人民法定</t>
    </r>
    <r>
      <rPr>
        <b/>
        <sz val="9"/>
        <rFont val="仿宋"/>
        <charset val="134"/>
      </rPr>
      <t>存款准备金率</t>
    </r>
    <r>
      <rPr>
        <sz val="9"/>
        <rFont val="仿宋"/>
        <charset val="134"/>
      </rPr>
      <t>1%，</t>
    </r>
    <r>
      <rPr>
        <b/>
        <sz val="9"/>
        <rFont val="仿宋"/>
        <charset val="134"/>
      </rPr>
      <t>继续维持货币政策宽松</t>
    </r>
    <r>
      <rPr>
        <sz val="9"/>
        <rFont val="仿宋"/>
        <charset val="134"/>
      </rPr>
      <t>。</t>
    </r>
  </si>
  <si>
    <t>1、月度社融存量同比：持续走低，于2018年12月底见顶
2、M2同比：持续走低
【共振】</t>
  </si>
  <si>
    <r>
      <rPr>
        <b/>
        <sz val="9"/>
        <rFont val="仿宋"/>
        <charset val="134"/>
      </rPr>
      <t>信号印证（货币政策宣布）</t>
    </r>
    <r>
      <rPr>
        <sz val="9"/>
        <rFont val="仿宋"/>
        <charset val="134"/>
      </rPr>
      <t xml:space="preserve">
央行</t>
    </r>
    <r>
      <rPr>
        <b/>
        <sz val="9"/>
        <rFont val="仿宋"/>
        <charset val="134"/>
      </rPr>
      <t>两次共下调</t>
    </r>
    <r>
      <rPr>
        <sz val="9"/>
        <rFont val="仿宋"/>
        <charset val="134"/>
      </rPr>
      <t>法定存款准备金率共1%，其中 1月15日和1月25日各降0.5%，</t>
    </r>
    <r>
      <rPr>
        <b/>
        <sz val="9"/>
        <rFont val="仿宋"/>
        <charset val="134"/>
      </rPr>
      <t>继续维持货币政策宽松</t>
    </r>
    <r>
      <rPr>
        <sz val="9"/>
        <rFont val="仿宋"/>
        <charset val="134"/>
      </rPr>
      <t>。</t>
    </r>
  </si>
  <si>
    <t>1、月度社融存量同比：连续几个月呈现阶梯式走高，于2019年6月底见顶
2、M2同比：震荡走高
【共振】</t>
  </si>
  <si>
    <r>
      <rPr>
        <b/>
        <sz val="9"/>
        <rFont val="仿宋"/>
        <charset val="134"/>
      </rPr>
      <t>信号印证（货币政策宣布）</t>
    </r>
    <r>
      <rPr>
        <sz val="9"/>
        <rFont val="仿宋"/>
        <charset val="134"/>
      </rPr>
      <t xml:space="preserve">
央行</t>
    </r>
    <r>
      <rPr>
        <b/>
        <sz val="9"/>
        <rFont val="仿宋"/>
        <charset val="134"/>
      </rPr>
      <t>下调金融机构存款准备金率</t>
    </r>
    <r>
      <rPr>
        <sz val="9"/>
        <rFont val="仿宋"/>
        <charset val="134"/>
      </rPr>
      <t>0.5%（不含财务公司、金融租赁公司和汽车金融公司），宣告了货币政策目标由</t>
    </r>
    <r>
      <rPr>
        <b/>
        <sz val="9"/>
        <rFont val="仿宋"/>
        <charset val="134"/>
      </rPr>
      <t>紧转松</t>
    </r>
    <r>
      <rPr>
        <sz val="9"/>
        <rFont val="仿宋"/>
        <charset val="134"/>
      </rPr>
      <t>。</t>
    </r>
  </si>
  <si>
    <r>
      <rPr>
        <b/>
        <sz val="9"/>
        <rFont val="仿宋"/>
        <charset val="134"/>
      </rPr>
      <t>信号印证（货币政策宣布）</t>
    </r>
    <r>
      <rPr>
        <sz val="9"/>
        <rFont val="仿宋"/>
        <charset val="134"/>
      </rPr>
      <t xml:space="preserve">
1、</t>
    </r>
    <r>
      <rPr>
        <b/>
        <sz val="9"/>
        <rFont val="仿宋"/>
        <charset val="134"/>
      </rPr>
      <t>下调金融机构存款准备金率0.5%</t>
    </r>
    <r>
      <rPr>
        <sz val="9"/>
        <rFont val="仿宋"/>
        <charset val="134"/>
      </rPr>
      <t>（不含财务公司、金融租赁公司和汽车金融公司），</t>
    </r>
    <r>
      <rPr>
        <b/>
        <sz val="9"/>
        <rFont val="仿宋"/>
        <charset val="134"/>
      </rPr>
      <t>继续维持货币政策宽松</t>
    </r>
    <r>
      <rPr>
        <sz val="9"/>
        <rFont val="仿宋"/>
        <charset val="134"/>
      </rPr>
      <t>。
2、央行发布公告称，为对冲税期高峰、现金投放等因素的影响，维护春节前银行体系流动性合理充裕，当日开展中期借贷便利（MLF）操作3000亿元，期限为1年，利率3.25%。</t>
    </r>
  </si>
  <si>
    <t>1、月度社融存量同比：在此期间震荡走平，
2、M2同比：震荡走平
【共振】</t>
  </si>
  <si>
    <r>
      <rPr>
        <b/>
        <sz val="9"/>
        <color theme="1"/>
        <rFont val="仿宋"/>
        <charset val="134"/>
      </rPr>
      <t>信号印证（数量货币工具）</t>
    </r>
    <r>
      <rPr>
        <sz val="9"/>
        <color theme="1"/>
        <rFont val="仿宋"/>
        <charset val="134"/>
      </rPr>
      <t xml:space="preserve">
央行下调逆回购利率0.2%，货币政策目标继续放松。</t>
    </r>
  </si>
  <si>
    <r>
      <rPr>
        <b/>
        <sz val="9"/>
        <color theme="1"/>
        <rFont val="仿宋"/>
        <charset val="134"/>
      </rPr>
      <t xml:space="preserve">信号印证（货币政策宣布） </t>
    </r>
    <r>
      <rPr>
        <sz val="9"/>
        <color theme="1"/>
        <rFont val="仿宋"/>
        <charset val="134"/>
      </rPr>
      <t xml:space="preserve">
央行于</t>
    </r>
    <r>
      <rPr>
        <b/>
        <sz val="9"/>
        <color theme="1"/>
        <rFont val="仿宋"/>
        <charset val="134"/>
      </rPr>
      <t>4月3日</t>
    </r>
    <r>
      <rPr>
        <sz val="9"/>
        <color theme="1"/>
        <rFont val="仿宋"/>
        <charset val="134"/>
      </rPr>
      <t>宣布，</t>
    </r>
    <r>
      <rPr>
        <b/>
        <sz val="9"/>
        <color theme="1"/>
        <rFont val="仿宋"/>
        <charset val="134"/>
      </rPr>
      <t>对农村信用社、农村商业银行、农村合作银行和仅在省内经营的城商行定向下调1%</t>
    </r>
    <r>
      <rPr>
        <sz val="9"/>
        <color theme="1"/>
        <rFont val="仿宋"/>
        <charset val="134"/>
      </rPr>
      <t>，于2020年4月、5月实施，每次分别下调0.5%，宣告了货币政策目继续放松。</t>
    </r>
  </si>
  <si>
    <r>
      <rPr>
        <b/>
        <sz val="10"/>
        <color theme="1"/>
        <rFont val="仿宋"/>
        <charset val="134"/>
      </rPr>
      <t>中央政治局会议</t>
    </r>
    <r>
      <rPr>
        <sz val="9"/>
        <color theme="1"/>
        <rFont val="仿宋"/>
        <charset val="134"/>
      </rPr>
      <t>在2020年7月底至8月上旬举办，此次会议讨论的重点为部署2020年下半年经济工作，会议中对2020年4月的中央政治局会议的措辞进行了修正：
一是，4月份的政治局会议明确提出“运用降准、降息、再贷款等手段”，本次会议将其删去，没有任何运用总量工具保持流动性合理充裕的提法。
二是对社融和货币供应量的表态：从“两会”政府工作报告“明显高于去年”转变为“保持合理增长”。
这说明，政府认为上半年的社融和M2增速偏高，下半年至少在企业和居民部门层面要适度收紧信用，控制社融和M2增速，未来社融和M2增速要逐步和名义GDP增速匹配。</t>
    </r>
  </si>
  <si>
    <r>
      <rPr>
        <b/>
        <sz val="10"/>
        <color theme="1"/>
        <rFont val="仿宋"/>
        <charset val="134"/>
      </rPr>
      <t>信号确认（中央政治局会议定调：立刻进行周期变换）</t>
    </r>
    <r>
      <rPr>
        <sz val="10"/>
        <color theme="1"/>
        <rFont val="仿宋"/>
        <charset val="134"/>
      </rPr>
      <t xml:space="preserve">
VS
</t>
    </r>
    <r>
      <rPr>
        <b/>
        <sz val="10"/>
        <color theme="1"/>
        <rFont val="仿宋"/>
        <charset val="134"/>
      </rPr>
      <t>央行超预期发行MLF7000亿</t>
    </r>
    <r>
      <rPr>
        <sz val="10"/>
        <color theme="1"/>
        <rFont val="仿宋"/>
        <charset val="134"/>
      </rPr>
      <t>(Refer《央妈为啥突然端出这碗7000亿的“麻辣粉”_凤凰网》
【原因：2020年8月以来地方债、国债大规模发行，资金收紧，但要</t>
    </r>
    <r>
      <rPr>
        <b/>
        <sz val="10"/>
        <color theme="1"/>
        <rFont val="仿宋"/>
        <charset val="134"/>
      </rPr>
      <t>“维持利率在合理区间”，只能提供多的供给</t>
    </r>
    <r>
      <rPr>
        <sz val="10"/>
        <color theme="1"/>
        <rFont val="仿宋"/>
        <charset val="134"/>
      </rPr>
      <t>。
  解读：央行此次放水，但没下调利率，因此货币政策没有放松，还是维持“维稳”】</t>
    </r>
  </si>
  <si>
    <t>备注：此为《任：2021.3》统计窗口的末端，但此代表2020.9以后为另外的货币周期的开始？还是所用的DATA就系到2020.9？</t>
  </si>
  <si>
    <r>
      <rPr>
        <sz val="9"/>
        <color theme="1"/>
        <rFont val="仿宋"/>
        <charset val="134"/>
      </rPr>
      <t>自</t>
    </r>
    <r>
      <rPr>
        <b/>
        <sz val="9"/>
        <color theme="1"/>
        <rFont val="仿宋"/>
        <charset val="134"/>
      </rPr>
      <t>2020年8月至2021年1月就开始进行有别于常规的”量大的“公开市场操作(标橙）</t>
    </r>
    <r>
      <rPr>
        <sz val="9"/>
        <color theme="1"/>
        <rFont val="仿宋"/>
        <charset val="134"/>
      </rPr>
      <t>，但参考两个时点公开操作的两篇文献如下
1、2020.8：MLF7000亿 《央妈为啥突然端出这碗7000亿的“麻辣粉”_凤凰网》“缓解地方债发行的资金压力，需提供供给保持利率稳定”
2、2020.11：MLF10000亿 《8000亿元 央行端出年内最大“麻辣粉”》 “缓解大型国企违约资金压力”（(客观表现为：Shibor\DR007\R007均出现上扬）
因此，从以上操作来看，表明看好像为市场释放大量流动性，但本质是为了保持利率稳定，与2020.7的中央政治局会议表述对于货币供应量““保持合理增长””一致，系偏中性的货币政策，也即系“相对的紧货币”。</t>
    </r>
  </si>
  <si>
    <t>1、月度社融存量同比：在此期间持续走高
2、M2同比：先走高，后小幅度走低
【先共振，后小幅度背离，以社融为准】</t>
  </si>
  <si>
    <t>2021年7月7日，国务院常务会议决定，”适时运用降准等货币工具，进一步加强金融对实体经济特别是中小企业的支持“。同月，央行宣布全面降准。</t>
  </si>
  <si>
    <t>zong结 Decision  rule</t>
  </si>
  <si>
    <t>信号确认（连续3个月同向变化）??</t>
  </si>
  <si>
    <t>一、策略期限的评估（时长）</t>
  </si>
  <si>
    <t>表1：经济周期合计时长与平均时长</t>
  </si>
  <si>
    <t>可视化（饼图）</t>
  </si>
  <si>
    <t>经济周期</t>
  </si>
  <si>
    <t>合计时长(月)</t>
  </si>
  <si>
    <t>合计时长(%)</t>
  </si>
  <si>
    <t>合计触发次数</t>
  </si>
  <si>
    <t>平均时长(月)</t>
  </si>
  <si>
    <t>合计</t>
  </si>
  <si>
    <t>二、策略逻辑紧密程度的评估(顺序）</t>
  </si>
  <si>
    <t>表2-1：经济周期转动次数统计表</t>
  </si>
  <si>
    <t>可视化（自由发挥）</t>
  </si>
  <si>
    <t>T0 - T1</t>
  </si>
  <si>
    <t>流转正确率</t>
  </si>
  <si>
    <t>累计</t>
  </si>
  <si>
    <t>验证关系： N = K+1,  流转正确率 = (L1 + L2 +L3 + L4)/K</t>
  </si>
  <si>
    <t>表2-2：经济周期转动概率统计表</t>
  </si>
  <si>
    <t>可视化：记录每月的概率变化过程 《国信》 P35</t>
  </si>
  <si>
    <t>备注：经济周期流转概率统计说明，以H%、I%、K%为例</t>
  </si>
  <si>
    <t>H% = 历史样本中“复苏到过热”的次数 / 历史样本中触发“复苏”经济周期的合计次数</t>
  </si>
  <si>
    <t>I% = 历史样本中“复苏到滞涨”的次数 / 历史样本中触发“复苏”经济周期的合计次数</t>
  </si>
  <si>
    <t>K% = 历史样本中“复苏到萧条”的次数 / 历史样本中触发“复苏”经济周期的合计次数</t>
  </si>
  <si>
    <t>三、策略规则整体盈利度的评估（大类资产排序正确率）</t>
  </si>
  <si>
    <t>表3-1：大类资产在不同经济周期之下的平均年化收益率（策略盈利度评估：盈亏比）</t>
  </si>
  <si>
    <t>经济周期/大类资产表现</t>
  </si>
  <si>
    <t>最优配置资产</t>
  </si>
  <si>
    <t>是否与理论一致</t>
  </si>
  <si>
    <t>备注：平均年化收益率计法如下（案例），假定从2002年12月至2021年9月共有5个复苏期，并已获得每一个复苏期下的股票年化收益率</t>
  </si>
  <si>
    <t>复苏期1</t>
  </si>
  <si>
    <t>年化收益率1</t>
  </si>
  <si>
    <t>复苏期2</t>
  </si>
  <si>
    <t>年化收益率2</t>
  </si>
  <si>
    <t>复苏期3</t>
  </si>
  <si>
    <t>年化收益率3</t>
  </si>
  <si>
    <t>复苏期4</t>
  </si>
  <si>
    <t>年化收益率4</t>
  </si>
  <si>
    <t>复苏期5</t>
  </si>
  <si>
    <t>年化收益率5</t>
  </si>
  <si>
    <t>平均年化收益率(股票）= （年化收益率1+年化收益率2+年化收益率3+年化收益率4+年化收益率5）/5</t>
  </si>
  <si>
    <t>如此类推股票的其它经济周期 和 其它资产</t>
  </si>
  <si>
    <t>表3-2：大类资产在不同经济周期之下的胜率（策略盈利度评估：胜率）</t>
  </si>
  <si>
    <t>备注：以A%说明胜率，A% = 历史样本中“复苏”时期股票收益率最高的次数 / 历史样本“复苏”触发合计次数</t>
  </si>
  <si>
    <t xml:space="preserve">      A% + B% +C% +D% = 100%</t>
  </si>
  <si>
    <t>表3-3：大类资产在不同经济周期之下出现不同走势的概率</t>
  </si>
  <si>
    <t>可视化：Decision Based 《国信》 P1 &amp; 2 circle</t>
  </si>
  <si>
    <t>大类资产</t>
  </si>
  <si>
    <t>市场走势</t>
  </si>
  <si>
    <t>牛市</t>
  </si>
  <si>
    <t>震荡</t>
  </si>
  <si>
    <t>熊市</t>
  </si>
  <si>
    <t>牛市的定义：收益率为正 &amp; 价格上升幅度大于年化波动率</t>
  </si>
  <si>
    <t>熊市的定义：收益率为负 &amp; 价格下挫幅度大于年化波动率</t>
  </si>
  <si>
    <t>震荡的定义：价格变化幅度小于等于年化波动率</t>
  </si>
  <si>
    <t>四、策略优化空间大小的评估（大类资产的组合%） 【 不需要做 】</t>
  </si>
  <si>
    <t>五、不同经济周期定位组别的对比（对于不同组别，主要评价的落脚点在于“顺序：时钟流转”和“排序：最优表现资产”上，因此表2-2、表3-1与表3-2为主要对比维度）</t>
  </si>
  <si>
    <t>组别</t>
  </si>
  <si>
    <t>流转正确率(整体)</t>
  </si>
  <si>
    <t>理论推荐的最优资产在不同组别下的胜率</t>
  </si>
  <si>
    <t>理论推荐的最优资产在不同组别下的平均收益</t>
  </si>
  <si>
    <t>修正组</t>
  </si>
  <si>
    <t>对比组1</t>
  </si>
  <si>
    <t>对比组2</t>
  </si>
  <si>
    <t>传统美林</t>
  </si>
  <si>
    <t>修正组：基于任泽平等机构报告结论进行修正的结论</t>
  </si>
  <si>
    <t>对比组1：任泽平等机构报告的结论</t>
  </si>
  <si>
    <t>对比组2：货币周期参考任泽平等机构报告结论，信用周期以“移动平均”为方法进行定位</t>
  </si>
  <si>
    <t>对比组3：货币周期以国债利率，信用周期以利差为方法进行定位</t>
  </si>
  <si>
    <t>传统美林：基于任泽平等机构报告中关于以传统美林理论定位经济周的结论</t>
  </si>
  <si>
    <t>六、相关计量检验</t>
  </si>
  <si>
    <t>表 6.1  大类资产F-test检验结果（one-way ANOVA)</t>
  </si>
  <si>
    <t>置信水平</t>
  </si>
  <si>
    <t>备注：参考《The investment clock-10 November 2004》（Merrill Lynch) 21页</t>
  </si>
  <si>
    <t>表 6.2  大类资产T-test检验结果</t>
  </si>
  <si>
    <t>underperform</t>
  </si>
  <si>
    <t>OUTPERFORM</t>
  </si>
  <si>
    <t>备注：参考《The investment clock-10 November 2004》（Merrill Lynch) 23页</t>
  </si>
  <si>
    <t>表1：SHI间序列之下的经济周期象限中不同资产的年化收益率</t>
  </si>
  <si>
    <t>时间</t>
  </si>
  <si>
    <t>象限</t>
  </si>
  <si>
    <t>时长</t>
  </si>
  <si>
    <t>中债收益率
（年化）</t>
  </si>
  <si>
    <t>沪深收益率
（年化）</t>
  </si>
  <si>
    <t>商品收益率
（年化）</t>
  </si>
  <si>
    <t>2002年12月份-2003年06月份</t>
  </si>
  <si>
    <t>复苏期</t>
  </si>
  <si>
    <t>2003年07月份-2003年08月份</t>
  </si>
  <si>
    <t>过热期</t>
  </si>
  <si>
    <t>2003年09月份-2004年11月份</t>
  </si>
  <si>
    <t>滞涨期</t>
  </si>
  <si>
    <t>2004年12月份-2005年12月份</t>
  </si>
  <si>
    <t>萧条期</t>
  </si>
  <si>
    <t>2006年01月份-2006年04月份</t>
  </si>
  <si>
    <t>2006年05月份-2008年02月份</t>
  </si>
  <si>
    <t>2008年03月份-2008年09月份</t>
  </si>
  <si>
    <t>2008年10月份-2008年12月份</t>
  </si>
  <si>
    <t>2009年01月份-2009年07月份</t>
  </si>
  <si>
    <t>2009年08月份-2009年12月份</t>
  </si>
  <si>
    <t>2010年01月份-2010年06月份</t>
  </si>
  <si>
    <t>2010年07月份-2010年12月份</t>
  </si>
  <si>
    <t>2011年01月份-2011年11月份</t>
  </si>
  <si>
    <t>2011年12月份-2013年06月份</t>
  </si>
  <si>
    <t>2013年07月份-2014年03月份</t>
  </si>
  <si>
    <t>2014年04月份-2014年06月份</t>
  </si>
  <si>
    <t>2014年07月份-2015年04月份</t>
  </si>
  <si>
    <t>2015年05月份-2016年01月份</t>
  </si>
  <si>
    <t>2016年02月份-2016年07月份</t>
  </si>
  <si>
    <t>2016年08月份-2017年01月份</t>
  </si>
  <si>
    <t>2017年02月份-2018年04月份</t>
  </si>
  <si>
    <t>2018年05月份-2018年12月份</t>
  </si>
  <si>
    <t>2019年01月份-2019年06月份</t>
  </si>
  <si>
    <t>2019年07月份-2020年02月份</t>
  </si>
  <si>
    <t>2020年03月份-2020年07月份</t>
  </si>
  <si>
    <t>2020年08月份-2020年10月份</t>
  </si>
  <si>
    <t>2020年11月份-2021年06月份</t>
  </si>
  <si>
    <t>2021年07月份-2021年09月份</t>
  </si>
  <si>
    <t>表2：不同资产在不同经济周期中的年化收益率（表1的转置）</t>
  </si>
  <si>
    <t>Economic cycle</t>
  </si>
  <si>
    <t>资产类别</t>
  </si>
  <si>
    <t>中债收益率(年化收益率）</t>
  </si>
  <si>
    <t>沪深收益率(年化收益率）</t>
  </si>
  <si>
    <t>商品收益率(年化收益率）</t>
  </si>
  <si>
    <t>复苏期(9次）</t>
  </si>
  <si>
    <t>过热期(5次）</t>
  </si>
  <si>
    <t>*</t>
  </si>
  <si>
    <t>滞涨期(7次)</t>
  </si>
  <si>
    <t>萧条期(7次)</t>
  </si>
  <si>
    <t>表3：不同资产针对不同经济周期做F TEST的基础表（在表2中在不同经济周期里取5次表现构成分组，不然对不齐）</t>
  </si>
  <si>
    <t>CYCLE</t>
  </si>
  <si>
    <t>沪深300收益率(年化收益率）</t>
  </si>
  <si>
    <t>沪深300</t>
  </si>
  <si>
    <t>价格</t>
  </si>
  <si>
    <t>年</t>
  </si>
  <si>
    <t>价格(DATA)</t>
  </si>
  <si>
    <t>月度收益率</t>
  </si>
  <si>
    <t>大宗商品（南华商品指数：NH0100.NHF)）</t>
  </si>
  <si>
    <t>中债指数（中债-综合财富(总值）指数 :CBA00201)《中债-新综合指数编制说明》</t>
  </si>
  <si>
    <t>货币(银行间质押式回购加权利率1天）</t>
  </si>
  <si>
    <t>备注：</t>
  </si>
  <si>
    <t>2-67都是复苏期</t>
  </si>
  <si>
    <t>68-105都是过热期</t>
  </si>
  <si>
    <t>106-176滞涨期</t>
  </si>
  <si>
    <t>177-227萧条期</t>
  </si>
  <si>
    <t>衰退期</t>
  </si>
  <si>
    <t>L1=4</t>
  </si>
  <si>
    <t>N=28</t>
  </si>
  <si>
    <t>L2=5</t>
  </si>
  <si>
    <t>L3=4</t>
  </si>
  <si>
    <t>L4=6</t>
  </si>
  <si>
    <t>K=27</t>
  </si>
  <si>
    <t>只算股票</t>
  </si>
  <si>
    <t>一致</t>
  </si>
  <si>
    <t>不一致</t>
  </si>
  <si>
    <t>债券</t>
  </si>
  <si>
    <t>P-value(F-Stat)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</si>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</sst>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\-d;@"/>
    <numFmt numFmtId="165" formatCode="###,###,###,##0.0000"/>
    <numFmt numFmtId="166" formatCode="0.00_);[Red]\(0.00\)"/>
    <numFmt numFmtId="167" formatCode="0.0_ "/>
    <numFmt numFmtId="168" formatCode="0.00_ "/>
    <numFmt numFmtId="169" formatCode="yyyy&quot;年&quot;m&quot;月&quot;;@"/>
    <numFmt numFmtId="170" formatCode="0_);[Red]\(0\)"/>
    <numFmt numFmtId="171" formatCode="0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仿宋"/>
      <charset val="134"/>
    </font>
    <font>
      <sz val="10"/>
      <color theme="1"/>
      <name val="仿宋"/>
      <charset val="134"/>
    </font>
    <font>
      <sz val="9"/>
      <color theme="1"/>
      <name val="仿宋"/>
      <charset val="134"/>
    </font>
    <font>
      <b/>
      <sz val="9"/>
      <color theme="1"/>
      <name val="仿宋"/>
      <charset val="134"/>
    </font>
    <font>
      <sz val="9"/>
      <color rgb="FF000000"/>
      <name val="仿宋"/>
      <charset val="134"/>
    </font>
    <font>
      <b/>
      <sz val="9"/>
      <color theme="5"/>
      <name val="仿宋"/>
      <charset val="134"/>
    </font>
    <font>
      <b/>
      <sz val="9"/>
      <color rgb="FF7030A0"/>
      <name val="仿宋"/>
      <charset val="134"/>
    </font>
    <font>
      <b/>
      <sz val="11"/>
      <color theme="1"/>
      <name val="仿宋"/>
      <charset val="134"/>
    </font>
    <font>
      <sz val="9"/>
      <color theme="1" tint="0.14999847407452621"/>
      <name val="仿宋"/>
      <charset val="134"/>
    </font>
    <font>
      <b/>
      <sz val="9"/>
      <name val="仿宋"/>
      <charset val="134"/>
    </font>
    <font>
      <sz val="9"/>
      <name val="仿宋"/>
      <charset val="134"/>
    </font>
    <font>
      <sz val="11"/>
      <color theme="1"/>
      <name val="Calibri"/>
      <family val="2"/>
      <scheme val="minor"/>
    </font>
    <font>
      <b/>
      <sz val="9"/>
      <color theme="1" tint="0.14999847407452621"/>
      <name val="仿宋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164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166" fontId="1" fillId="0" borderId="0" xfId="0" applyNumberFormat="1" applyFont="1" applyFill="1" applyAlignment="1">
      <alignment vertical="center"/>
    </xf>
    <xf numFmtId="164" fontId="2" fillId="2" borderId="1" xfId="0" applyNumberFormat="1" applyFont="1" applyFill="1" applyBorder="1" applyAlignment="1"/>
    <xf numFmtId="165" fontId="0" fillId="2" borderId="0" xfId="0" applyNumberFormat="1" applyFont="1" applyFill="1" applyBorder="1" applyAlignment="1">
      <alignment vertical="top" wrapText="1"/>
    </xf>
    <xf numFmtId="165" fontId="0" fillId="0" borderId="0" xfId="0" applyNumberFormat="1" applyFont="1" applyFill="1" applyBorder="1" applyAlignment="1">
      <alignment vertical="top" wrapText="1"/>
    </xf>
    <xf numFmtId="0" fontId="3" fillId="0" borderId="0" xfId="0" applyFo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0" fontId="0" fillId="3" borderId="2" xfId="1" applyNumberFormat="1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/>
    </xf>
    <xf numFmtId="10" fontId="0" fillId="5" borderId="2" xfId="1" applyNumberFormat="1" applyFont="1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10" fontId="0" fillId="6" borderId="2" xfId="1" applyNumberFormat="1" applyFont="1" applyFill="1" applyBorder="1">
      <alignment vertical="center"/>
    </xf>
    <xf numFmtId="0" fontId="0" fillId="6" borderId="2" xfId="0" applyFill="1" applyBorder="1">
      <alignment vertical="center"/>
    </xf>
    <xf numFmtId="10" fontId="0" fillId="6" borderId="2" xfId="1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>
      <alignment vertical="center"/>
    </xf>
    <xf numFmtId="9" fontId="6" fillId="0" borderId="2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10" fontId="6" fillId="0" borderId="2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9" fontId="7" fillId="0" borderId="2" xfId="0" applyNumberFormat="1" applyFont="1" applyBorder="1" applyAlignment="1">
      <alignment horizontal="center" vertical="center" wrapText="1"/>
    </xf>
    <xf numFmtId="170" fontId="7" fillId="0" borderId="2" xfId="0" applyNumberFormat="1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71" fontId="7" fillId="0" borderId="2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69" fontId="7" fillId="7" borderId="2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49" fontId="7" fillId="9" borderId="2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0" fontId="13" fillId="0" borderId="2" xfId="0" applyFont="1" applyFill="1" applyBorder="1" applyAlignment="1">
      <alignment vertical="center" wrapText="1"/>
    </xf>
    <xf numFmtId="0" fontId="14" fillId="8" borderId="5" xfId="0" applyFont="1" applyFill="1" applyBorder="1" applyAlignment="1">
      <alignment horizontal="left" vertical="center" wrapText="1"/>
    </xf>
    <xf numFmtId="169" fontId="7" fillId="14" borderId="2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vertical="center" wrapText="1"/>
    </xf>
    <xf numFmtId="0" fontId="14" fillId="8" borderId="5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169" fontId="7" fillId="15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5" fillId="0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10" fontId="6" fillId="0" borderId="2" xfId="0" applyNumberFormat="1" applyFont="1" applyBorder="1">
      <alignment vertical="center"/>
    </xf>
    <xf numFmtId="10" fontId="6" fillId="0" borderId="2" xfId="0" applyNumberFormat="1" applyFont="1" applyBorder="1" applyAlignment="1">
      <alignment horizontal="center" vertical="center"/>
    </xf>
    <xf numFmtId="9" fontId="6" fillId="0" borderId="2" xfId="0" applyNumberFormat="1" applyFont="1" applyBorder="1">
      <alignment vertical="center"/>
    </xf>
    <xf numFmtId="10" fontId="6" fillId="0" borderId="0" xfId="0" applyNumberFormat="1" applyFont="1">
      <alignment vertical="center"/>
    </xf>
    <xf numFmtId="10" fontId="6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8">
    <dxf>
      <fill>
        <patternFill patternType="solid">
          <bgColor theme="0" tint="-0.149998474074526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34998626667073579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171450</xdr:colOff>
      <xdr:row>64</xdr:row>
      <xdr:rowOff>0</xdr:rowOff>
    </xdr:from>
    <xdr:to>
      <xdr:col>15</xdr:col>
      <xdr:colOff>28574</xdr:colOff>
      <xdr:row>87</xdr:row>
      <xdr:rowOff>142875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2050" y="11125200"/>
          <a:ext cx="4105275" cy="364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14</xdr:col>
      <xdr:colOff>400050</xdr:colOff>
      <xdr:row>40</xdr:row>
      <xdr:rowOff>88900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10600" y="4229100"/>
          <a:ext cx="3962400" cy="308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uoyangmeng/Desktop/&#36716;&#21457;&#65306;&#32654;&#26519;&#26102;&#38047;&#22269;&#20869;&#24212;&#29992;&#21487;&#33021;&#24615;&#30740;&#31350;&#20316;&#19994;&#27169;&#26495;&#65288;20220125&#65289;/&#38382;&#39064;4&#65306;&#36135;&#24065;&#20449;&#29992;&#21608;&#26399;&#20915;&#31574;&#26694;&#26550;&#65288;&#23545;&#25253;&#21578;&#21608;&#26399;&#32467;&#35770;&#36827;&#34892;&#19968;&#23450;&#31243;&#24230;&#20462;&#27491;&#65289;20211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YF/2020&#24037;&#20316;&#65288;&#36861;&#20809;&#65289;/1&#12289;Wealth%20mgt%20research/&#36164;&#20135;&#37197;&#32622;&#27493;&#39588;2&#65288;&#22823;&#36164;&#20135;&#25112;&#30053;&#37197;&#32622;&#20915;&#31574;&#65289;/R%20TO%20I&#65288;&#32463;&#27982;&#21608;&#26399;&#26234;&#33021;&#20915;&#31574;&#20307;&#31995;&#65289;/&#20851;&#38190;&#25104;&#26524;/data&#28304;/&#20449;&#29992;&#20915;&#31574;/M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YF/2020&#24037;&#20316;&#65288;&#36861;&#20809;&#65289;/1&#12289;Wealth%20mgt%20research/&#36164;&#20135;&#37197;&#32622;&#27493;&#39588;2&#65288;&#22823;&#36164;&#20135;&#25112;&#30053;&#37197;&#32622;&#20915;&#31574;&#65289;/R%20TO%20I&#65288;&#32463;&#27982;&#21608;&#26399;&#26234;&#33021;&#20915;&#31574;&#20307;&#31995;&#65289;/&#20851;&#38190;&#25104;&#26524;/data&#28304;/&#20449;&#29992;&#20915;&#31574;/&#24403;&#26376;&#31038;&#20250;&#34701;&#36164;&#35268;&#27169;&#22686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决策框架"/>
      <sheetName val="策略指标"/>
      <sheetName val="指标趋势"/>
      <sheetName val="大类资产类别"/>
      <sheetName val="央票发行利率(12月期) "/>
      <sheetName val="专项报告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E3" t="str">
            <v>198612</v>
          </cell>
          <cell r="F3">
            <v>29.3</v>
          </cell>
        </row>
        <row r="4">
          <cell r="E4" t="str">
            <v>198712</v>
          </cell>
          <cell r="F4">
            <v>24</v>
          </cell>
        </row>
        <row r="5">
          <cell r="E5" t="str">
            <v>198812</v>
          </cell>
          <cell r="F5">
            <v>21.2</v>
          </cell>
        </row>
        <row r="6">
          <cell r="E6" t="str">
            <v>198912</v>
          </cell>
          <cell r="F6">
            <v>18.3</v>
          </cell>
        </row>
        <row r="7">
          <cell r="E7" t="str">
            <v>199012</v>
          </cell>
          <cell r="F7">
            <v>28</v>
          </cell>
        </row>
        <row r="8">
          <cell r="E8" t="str">
            <v>199112</v>
          </cell>
          <cell r="F8">
            <v>26.5</v>
          </cell>
        </row>
        <row r="9">
          <cell r="E9" t="str">
            <v>199212</v>
          </cell>
          <cell r="F9">
            <v>31.3</v>
          </cell>
        </row>
        <row r="10">
          <cell r="E10" t="str">
            <v>199312</v>
          </cell>
          <cell r="F10">
            <v>37.299999999999997</v>
          </cell>
        </row>
        <row r="11">
          <cell r="E11" t="str">
            <v>199412</v>
          </cell>
          <cell r="F11">
            <v>34.5</v>
          </cell>
        </row>
        <row r="12">
          <cell r="E12" t="str">
            <v>199512</v>
          </cell>
          <cell r="F12">
            <v>29.5</v>
          </cell>
        </row>
        <row r="13">
          <cell r="E13" t="str">
            <v>19961</v>
          </cell>
          <cell r="F13">
            <v>25.9</v>
          </cell>
        </row>
        <row r="14">
          <cell r="E14" t="str">
            <v>19962</v>
          </cell>
          <cell r="F14">
            <v>27.2</v>
          </cell>
        </row>
        <row r="15">
          <cell r="E15" t="str">
            <v>19963</v>
          </cell>
          <cell r="F15">
            <v>28.3</v>
          </cell>
        </row>
        <row r="16">
          <cell r="E16" t="str">
            <v>19964</v>
          </cell>
          <cell r="F16">
            <v>28.5</v>
          </cell>
        </row>
        <row r="17">
          <cell r="E17" t="str">
            <v>19965</v>
          </cell>
          <cell r="F17">
            <v>28.4</v>
          </cell>
        </row>
        <row r="18">
          <cell r="E18" t="str">
            <v>19966</v>
          </cell>
          <cell r="F18">
            <v>28.2</v>
          </cell>
        </row>
        <row r="19">
          <cell r="E19" t="str">
            <v>19967</v>
          </cell>
          <cell r="F19">
            <v>27</v>
          </cell>
        </row>
        <row r="20">
          <cell r="E20" t="str">
            <v>19968</v>
          </cell>
          <cell r="F20">
            <v>27.5</v>
          </cell>
        </row>
        <row r="21">
          <cell r="E21" t="str">
            <v>19969</v>
          </cell>
          <cell r="F21">
            <v>27.8</v>
          </cell>
        </row>
        <row r="22">
          <cell r="E22" t="str">
            <v>199610</v>
          </cell>
          <cell r="F22">
            <v>26.4</v>
          </cell>
        </row>
        <row r="23">
          <cell r="E23" t="str">
            <v>199611</v>
          </cell>
          <cell r="F23">
            <v>25.1</v>
          </cell>
        </row>
        <row r="24">
          <cell r="E24" t="str">
            <v>199612</v>
          </cell>
          <cell r="F24">
            <v>25.3</v>
          </cell>
        </row>
        <row r="25">
          <cell r="E25" t="str">
            <v>19971</v>
          </cell>
          <cell r="F25">
            <v>24.8</v>
          </cell>
        </row>
        <row r="26">
          <cell r="E26" t="str">
            <v>19972</v>
          </cell>
          <cell r="F26">
            <v>21.7</v>
          </cell>
        </row>
        <row r="27">
          <cell r="E27" t="str">
            <v>19973</v>
          </cell>
          <cell r="F27">
            <v>21.1</v>
          </cell>
        </row>
        <row r="28">
          <cell r="E28" t="str">
            <v>19974</v>
          </cell>
          <cell r="F28">
            <v>20.6</v>
          </cell>
        </row>
        <row r="29">
          <cell r="E29" t="str">
            <v>19975</v>
          </cell>
          <cell r="F29">
            <v>19.100000000000001</v>
          </cell>
        </row>
        <row r="30">
          <cell r="E30" t="str">
            <v>19976</v>
          </cell>
          <cell r="F30">
            <v>19.100000000000001</v>
          </cell>
        </row>
        <row r="31">
          <cell r="E31" t="str">
            <v>19977</v>
          </cell>
          <cell r="F31">
            <v>18.100000000000001</v>
          </cell>
        </row>
        <row r="32">
          <cell r="E32" t="str">
            <v>19978</v>
          </cell>
          <cell r="F32">
            <v>17.2</v>
          </cell>
        </row>
        <row r="33">
          <cell r="E33" t="str">
            <v>19979</v>
          </cell>
          <cell r="F33">
            <v>17.100000000000001</v>
          </cell>
        </row>
        <row r="34">
          <cell r="E34" t="str">
            <v>199710</v>
          </cell>
          <cell r="F34">
            <v>16.399999999999999</v>
          </cell>
        </row>
        <row r="35">
          <cell r="E35" t="str">
            <v>199711</v>
          </cell>
          <cell r="F35">
            <v>16.100000000000001</v>
          </cell>
        </row>
        <row r="36">
          <cell r="E36" t="str">
            <v>199712</v>
          </cell>
          <cell r="F36">
            <v>17.3</v>
          </cell>
        </row>
        <row r="37">
          <cell r="E37" t="str">
            <v>19981</v>
          </cell>
          <cell r="F37">
            <v>17.399999999999999</v>
          </cell>
        </row>
        <row r="38">
          <cell r="E38" t="str">
            <v>19982</v>
          </cell>
          <cell r="F38">
            <v>16.7</v>
          </cell>
        </row>
        <row r="39">
          <cell r="E39" t="str">
            <v>19983</v>
          </cell>
          <cell r="F39">
            <v>15.4</v>
          </cell>
        </row>
        <row r="40">
          <cell r="E40" t="str">
            <v>19984</v>
          </cell>
          <cell r="F40">
            <v>14.6</v>
          </cell>
        </row>
        <row r="41">
          <cell r="E41" t="str">
            <v>19985</v>
          </cell>
          <cell r="F41">
            <v>15.5</v>
          </cell>
        </row>
        <row r="42">
          <cell r="E42" t="str">
            <v>19986</v>
          </cell>
          <cell r="F42">
            <v>14.6</v>
          </cell>
        </row>
        <row r="43">
          <cell r="E43" t="str">
            <v>19987</v>
          </cell>
          <cell r="F43">
            <v>15.5</v>
          </cell>
        </row>
        <row r="44">
          <cell r="E44" t="str">
            <v>19988</v>
          </cell>
          <cell r="F44">
            <v>15</v>
          </cell>
        </row>
        <row r="45">
          <cell r="E45" t="str">
            <v>19989</v>
          </cell>
          <cell r="F45">
            <v>16</v>
          </cell>
        </row>
        <row r="46">
          <cell r="E46" t="str">
            <v>199810</v>
          </cell>
          <cell r="F46">
            <v>16.3</v>
          </cell>
        </row>
        <row r="47">
          <cell r="E47" t="str">
            <v>199811</v>
          </cell>
          <cell r="F47">
            <v>16.7</v>
          </cell>
        </row>
        <row r="48">
          <cell r="E48" t="str">
            <v>199812</v>
          </cell>
          <cell r="F48">
            <v>15.3</v>
          </cell>
        </row>
        <row r="49">
          <cell r="E49" t="str">
            <v>19991</v>
          </cell>
          <cell r="F49">
            <v>14.4</v>
          </cell>
        </row>
        <row r="50">
          <cell r="E50" t="str">
            <v>19992</v>
          </cell>
          <cell r="F50">
            <v>18</v>
          </cell>
        </row>
        <row r="51">
          <cell r="E51" t="str">
            <v>19993</v>
          </cell>
          <cell r="F51">
            <v>17.8</v>
          </cell>
        </row>
        <row r="52">
          <cell r="E52" t="str">
            <v>19994</v>
          </cell>
          <cell r="F52">
            <v>17.899999999999999</v>
          </cell>
        </row>
        <row r="53">
          <cell r="E53" t="str">
            <v>19995</v>
          </cell>
          <cell r="F53">
            <v>17.2</v>
          </cell>
        </row>
        <row r="54">
          <cell r="E54" t="str">
            <v>19996</v>
          </cell>
          <cell r="F54">
            <v>17.7</v>
          </cell>
        </row>
        <row r="55">
          <cell r="E55" t="str">
            <v>19997</v>
          </cell>
          <cell r="F55">
            <v>15.7</v>
          </cell>
        </row>
        <row r="56">
          <cell r="E56" t="str">
            <v>19998</v>
          </cell>
          <cell r="F56">
            <v>16</v>
          </cell>
        </row>
        <row r="57">
          <cell r="E57" t="str">
            <v>19999</v>
          </cell>
          <cell r="F57">
            <v>15.3</v>
          </cell>
        </row>
        <row r="58">
          <cell r="E58" t="str">
            <v>199910</v>
          </cell>
          <cell r="F58">
            <v>14.5</v>
          </cell>
        </row>
        <row r="59">
          <cell r="E59" t="str">
            <v>199911</v>
          </cell>
          <cell r="F59">
            <v>14</v>
          </cell>
        </row>
        <row r="60">
          <cell r="E60" t="str">
            <v>199912</v>
          </cell>
          <cell r="F60">
            <v>14.7</v>
          </cell>
        </row>
        <row r="61">
          <cell r="E61" t="str">
            <v>20001</v>
          </cell>
          <cell r="F61">
            <v>14.33</v>
          </cell>
        </row>
        <row r="62">
          <cell r="E62" t="str">
            <v>20002</v>
          </cell>
          <cell r="F62">
            <v>13.51</v>
          </cell>
        </row>
        <row r="63">
          <cell r="E63" t="str">
            <v>20003</v>
          </cell>
          <cell r="F63">
            <v>13.38</v>
          </cell>
        </row>
        <row r="64">
          <cell r="E64" t="str">
            <v>20004</v>
          </cell>
          <cell r="F64">
            <v>14.46</v>
          </cell>
        </row>
        <row r="65">
          <cell r="E65" t="str">
            <v>20005</v>
          </cell>
          <cell r="F65">
            <v>14.01</v>
          </cell>
        </row>
        <row r="66">
          <cell r="E66" t="str">
            <v>20006</v>
          </cell>
          <cell r="F66">
            <v>14.39</v>
          </cell>
        </row>
        <row r="67">
          <cell r="E67" t="str">
            <v>20007</v>
          </cell>
          <cell r="F67">
            <v>15.55</v>
          </cell>
        </row>
        <row r="68">
          <cell r="E68" t="str">
            <v>20008</v>
          </cell>
          <cell r="F68">
            <v>14.82</v>
          </cell>
        </row>
        <row r="69">
          <cell r="E69" t="str">
            <v>20009</v>
          </cell>
          <cell r="F69">
            <v>15.27</v>
          </cell>
        </row>
        <row r="70">
          <cell r="E70" t="str">
            <v>200010</v>
          </cell>
          <cell r="F70">
            <v>14.2</v>
          </cell>
        </row>
        <row r="71">
          <cell r="E71" t="str">
            <v>200011</v>
          </cell>
          <cell r="F71">
            <v>15.15</v>
          </cell>
        </row>
        <row r="72">
          <cell r="E72" t="str">
            <v>200012</v>
          </cell>
          <cell r="F72">
            <v>13.99</v>
          </cell>
        </row>
        <row r="73">
          <cell r="E73" t="str">
            <v>20011</v>
          </cell>
          <cell r="F73">
            <v>15.16</v>
          </cell>
        </row>
        <row r="74">
          <cell r="E74" t="str">
            <v>20012</v>
          </cell>
          <cell r="F74">
            <v>15.2</v>
          </cell>
        </row>
        <row r="75">
          <cell r="E75" t="str">
            <v>20013</v>
          </cell>
          <cell r="F75">
            <v>14.83</v>
          </cell>
        </row>
        <row r="76">
          <cell r="E76" t="str">
            <v>20014</v>
          </cell>
          <cell r="F76">
            <v>13.94</v>
          </cell>
        </row>
        <row r="77">
          <cell r="E77" t="str">
            <v>20015</v>
          </cell>
          <cell r="F77">
            <v>14.48</v>
          </cell>
        </row>
        <row r="78">
          <cell r="E78" t="str">
            <v>20016</v>
          </cell>
          <cell r="F78">
            <v>14.3</v>
          </cell>
        </row>
        <row r="79">
          <cell r="E79" t="str">
            <v>20017</v>
          </cell>
          <cell r="F79">
            <v>13.5</v>
          </cell>
        </row>
        <row r="80">
          <cell r="E80" t="str">
            <v>20018</v>
          </cell>
          <cell r="F80">
            <v>13.6</v>
          </cell>
        </row>
        <row r="81">
          <cell r="E81" t="str">
            <v>20019</v>
          </cell>
          <cell r="F81">
            <v>13.6</v>
          </cell>
        </row>
        <row r="82">
          <cell r="E82" t="str">
            <v>200110</v>
          </cell>
          <cell r="F82">
            <v>12.9</v>
          </cell>
        </row>
        <row r="83">
          <cell r="E83" t="str">
            <v>200111</v>
          </cell>
          <cell r="F83">
            <v>13.2</v>
          </cell>
        </row>
        <row r="84">
          <cell r="E84" t="str">
            <v>200112</v>
          </cell>
          <cell r="F84">
            <v>14.4</v>
          </cell>
        </row>
        <row r="85">
          <cell r="E85" t="str">
            <v>20021</v>
          </cell>
          <cell r="F85">
            <v>13.1</v>
          </cell>
        </row>
        <row r="86">
          <cell r="E86" t="str">
            <v>20022</v>
          </cell>
          <cell r="F86">
            <v>13</v>
          </cell>
        </row>
        <row r="87">
          <cell r="E87" t="str">
            <v>20023</v>
          </cell>
          <cell r="F87">
            <v>14.4</v>
          </cell>
        </row>
        <row r="88">
          <cell r="E88" t="str">
            <v>20024</v>
          </cell>
          <cell r="F88">
            <v>14.1</v>
          </cell>
        </row>
        <row r="89">
          <cell r="E89" t="str">
            <v>20025</v>
          </cell>
          <cell r="F89">
            <v>14</v>
          </cell>
        </row>
        <row r="90">
          <cell r="E90" t="str">
            <v>20026</v>
          </cell>
          <cell r="F90">
            <v>14.7</v>
          </cell>
        </row>
        <row r="91">
          <cell r="E91" t="str">
            <v>20027</v>
          </cell>
          <cell r="F91">
            <v>14.4</v>
          </cell>
        </row>
        <row r="92">
          <cell r="E92" t="str">
            <v>20028</v>
          </cell>
          <cell r="F92">
            <v>15.5</v>
          </cell>
        </row>
        <row r="93">
          <cell r="E93" t="str">
            <v>20029</v>
          </cell>
          <cell r="F93">
            <v>16.5</v>
          </cell>
        </row>
        <row r="94">
          <cell r="E94" t="str">
            <v>200210</v>
          </cell>
          <cell r="F94">
            <v>17</v>
          </cell>
        </row>
        <row r="95">
          <cell r="E95" t="str">
            <v>200211</v>
          </cell>
          <cell r="F95">
            <v>16.600000000000001</v>
          </cell>
        </row>
        <row r="96">
          <cell r="E96" t="str">
            <v>200212</v>
          </cell>
          <cell r="F96">
            <v>16.78</v>
          </cell>
        </row>
        <row r="97">
          <cell r="E97" t="str">
            <v>20031</v>
          </cell>
          <cell r="F97">
            <v>19.3</v>
          </cell>
        </row>
        <row r="98">
          <cell r="E98" t="str">
            <v>20032</v>
          </cell>
          <cell r="F98">
            <v>18.100000000000001</v>
          </cell>
        </row>
        <row r="99">
          <cell r="E99" t="str">
            <v>20033</v>
          </cell>
          <cell r="F99">
            <v>18.54</v>
          </cell>
        </row>
        <row r="100">
          <cell r="E100" t="str">
            <v>20034</v>
          </cell>
          <cell r="F100">
            <v>19.2</v>
          </cell>
        </row>
        <row r="101">
          <cell r="E101" t="str">
            <v>20035</v>
          </cell>
          <cell r="F101">
            <v>20.2</v>
          </cell>
        </row>
        <row r="102">
          <cell r="E102" t="str">
            <v>20036</v>
          </cell>
          <cell r="F102">
            <v>20.83</v>
          </cell>
        </row>
        <row r="103">
          <cell r="E103" t="str">
            <v>20037</v>
          </cell>
          <cell r="F103">
            <v>20.7</v>
          </cell>
        </row>
        <row r="104">
          <cell r="E104" t="str">
            <v>20038</v>
          </cell>
          <cell r="F104">
            <v>21.55</v>
          </cell>
        </row>
        <row r="105">
          <cell r="E105" t="str">
            <v>20039</v>
          </cell>
          <cell r="F105">
            <v>20.67</v>
          </cell>
        </row>
        <row r="106">
          <cell r="E106" t="str">
            <v>200310</v>
          </cell>
          <cell r="F106">
            <v>20.97</v>
          </cell>
        </row>
        <row r="107">
          <cell r="E107" t="str">
            <v>200311</v>
          </cell>
          <cell r="F107">
            <v>20.37</v>
          </cell>
        </row>
        <row r="108">
          <cell r="E108" t="str">
            <v>200312</v>
          </cell>
          <cell r="F108">
            <v>19.600000000000001</v>
          </cell>
        </row>
        <row r="109">
          <cell r="E109" t="str">
            <v>20041</v>
          </cell>
          <cell r="F109">
            <v>18.100000000000001</v>
          </cell>
        </row>
        <row r="110">
          <cell r="E110" t="str">
            <v>20042</v>
          </cell>
          <cell r="F110">
            <v>19.399999999999999</v>
          </cell>
        </row>
        <row r="111">
          <cell r="E111" t="str">
            <v>20043</v>
          </cell>
          <cell r="F111">
            <v>19.100000000000001</v>
          </cell>
        </row>
        <row r="112">
          <cell r="E112" t="str">
            <v>20044</v>
          </cell>
          <cell r="F112">
            <v>19.100000000000001</v>
          </cell>
        </row>
        <row r="113">
          <cell r="E113" t="str">
            <v>20045</v>
          </cell>
          <cell r="F113">
            <v>17.5</v>
          </cell>
        </row>
        <row r="114">
          <cell r="E114" t="str">
            <v>20046</v>
          </cell>
          <cell r="F114">
            <v>16.2</v>
          </cell>
        </row>
        <row r="115">
          <cell r="E115" t="str">
            <v>20047</v>
          </cell>
          <cell r="F115">
            <v>15.3</v>
          </cell>
        </row>
        <row r="116">
          <cell r="E116" t="str">
            <v>20048</v>
          </cell>
          <cell r="F116">
            <v>13.63</v>
          </cell>
        </row>
        <row r="117">
          <cell r="E117" t="str">
            <v>20049</v>
          </cell>
          <cell r="F117">
            <v>13.94</v>
          </cell>
        </row>
        <row r="118">
          <cell r="E118" t="str">
            <v>200410</v>
          </cell>
          <cell r="F118">
            <v>13.45</v>
          </cell>
        </row>
        <row r="119">
          <cell r="E119" t="str">
            <v>200411</v>
          </cell>
          <cell r="F119">
            <v>14</v>
          </cell>
        </row>
        <row r="120">
          <cell r="E120" t="str">
            <v>200412</v>
          </cell>
          <cell r="F120">
            <v>14.6</v>
          </cell>
        </row>
        <row r="121">
          <cell r="E121" t="str">
            <v>20051</v>
          </cell>
          <cell r="F121">
            <v>14.13</v>
          </cell>
        </row>
        <row r="122">
          <cell r="E122" t="str">
            <v>20052</v>
          </cell>
          <cell r="F122">
            <v>13.9</v>
          </cell>
        </row>
        <row r="123">
          <cell r="E123" t="str">
            <v>20053</v>
          </cell>
          <cell r="F123">
            <v>14</v>
          </cell>
        </row>
        <row r="124">
          <cell r="E124" t="str">
            <v>20054</v>
          </cell>
          <cell r="F124">
            <v>14.1</v>
          </cell>
        </row>
        <row r="125">
          <cell r="E125" t="str">
            <v>20055</v>
          </cell>
          <cell r="F125">
            <v>14.6</v>
          </cell>
        </row>
        <row r="126">
          <cell r="E126" t="str">
            <v>20056</v>
          </cell>
          <cell r="F126">
            <v>15.67</v>
          </cell>
        </row>
        <row r="127">
          <cell r="E127" t="str">
            <v>20057</v>
          </cell>
          <cell r="F127">
            <v>16.3</v>
          </cell>
        </row>
        <row r="128">
          <cell r="E128" t="str">
            <v>20058</v>
          </cell>
          <cell r="F128">
            <v>17.34</v>
          </cell>
        </row>
        <row r="129">
          <cell r="E129" t="str">
            <v>20059</v>
          </cell>
          <cell r="F129">
            <v>17.920000000000002</v>
          </cell>
        </row>
        <row r="130">
          <cell r="E130" t="str">
            <v>200510</v>
          </cell>
          <cell r="F130">
            <v>17.989999999999998</v>
          </cell>
        </row>
        <row r="131">
          <cell r="E131" t="str">
            <v>200511</v>
          </cell>
          <cell r="F131">
            <v>18.3</v>
          </cell>
        </row>
        <row r="132">
          <cell r="E132" t="str">
            <v>200512</v>
          </cell>
          <cell r="F132">
            <v>17.57</v>
          </cell>
        </row>
        <row r="133">
          <cell r="E133" t="str">
            <v>20061</v>
          </cell>
          <cell r="F133">
            <v>19.21</v>
          </cell>
        </row>
        <row r="134">
          <cell r="E134" t="str">
            <v>20062</v>
          </cell>
          <cell r="F134">
            <v>18.8</v>
          </cell>
        </row>
        <row r="135">
          <cell r="E135" t="str">
            <v>20063</v>
          </cell>
          <cell r="F135">
            <v>18.8</v>
          </cell>
        </row>
        <row r="136">
          <cell r="E136" t="str">
            <v>20064</v>
          </cell>
          <cell r="F136">
            <v>18.899999999999999</v>
          </cell>
        </row>
        <row r="137">
          <cell r="E137" t="str">
            <v>20065</v>
          </cell>
          <cell r="F137">
            <v>19.100000000000001</v>
          </cell>
        </row>
        <row r="138">
          <cell r="E138" t="str">
            <v>20066</v>
          </cell>
          <cell r="F138">
            <v>18.43</v>
          </cell>
        </row>
        <row r="139">
          <cell r="E139" t="str">
            <v>20067</v>
          </cell>
          <cell r="F139">
            <v>18.399999999999999</v>
          </cell>
        </row>
        <row r="140">
          <cell r="E140" t="str">
            <v>20068</v>
          </cell>
          <cell r="F140">
            <v>17.899999999999999</v>
          </cell>
        </row>
        <row r="141">
          <cell r="E141" t="str">
            <v>20069</v>
          </cell>
          <cell r="F141">
            <v>16.829999999999998</v>
          </cell>
        </row>
        <row r="142">
          <cell r="E142" t="str">
            <v>200610</v>
          </cell>
          <cell r="F142">
            <v>17.100000000000001</v>
          </cell>
        </row>
        <row r="143">
          <cell r="E143" t="str">
            <v>200611</v>
          </cell>
          <cell r="F143">
            <v>16.8</v>
          </cell>
        </row>
        <row r="144">
          <cell r="E144" t="str">
            <v>200612</v>
          </cell>
          <cell r="F144">
            <v>16.940000000000001</v>
          </cell>
        </row>
        <row r="145">
          <cell r="E145" t="str">
            <v>20071</v>
          </cell>
          <cell r="F145">
            <v>15.93</v>
          </cell>
        </row>
        <row r="146">
          <cell r="E146" t="str">
            <v>20072</v>
          </cell>
          <cell r="F146">
            <v>17.8</v>
          </cell>
        </row>
        <row r="147">
          <cell r="E147" t="str">
            <v>20073</v>
          </cell>
          <cell r="F147">
            <v>17.3</v>
          </cell>
        </row>
        <row r="148">
          <cell r="E148" t="str">
            <v>20074</v>
          </cell>
          <cell r="F148">
            <v>17.100000000000001</v>
          </cell>
        </row>
        <row r="149">
          <cell r="E149" t="str">
            <v>20075</v>
          </cell>
          <cell r="F149">
            <v>16.739999999999998</v>
          </cell>
        </row>
        <row r="150">
          <cell r="E150" t="str">
            <v>20076</v>
          </cell>
          <cell r="F150">
            <v>17.059999999999999</v>
          </cell>
        </row>
        <row r="151">
          <cell r="E151" t="str">
            <v>20077</v>
          </cell>
          <cell r="F151">
            <v>18.5</v>
          </cell>
        </row>
        <row r="152">
          <cell r="E152" t="str">
            <v>20078</v>
          </cell>
          <cell r="F152">
            <v>18.100000000000001</v>
          </cell>
        </row>
        <row r="153">
          <cell r="E153" t="str">
            <v>20079</v>
          </cell>
          <cell r="F153">
            <v>18.45</v>
          </cell>
        </row>
        <row r="154">
          <cell r="E154" t="str">
            <v>200710</v>
          </cell>
          <cell r="F154">
            <v>18.47</v>
          </cell>
        </row>
        <row r="155">
          <cell r="E155" t="str">
            <v>200711</v>
          </cell>
          <cell r="F155">
            <v>18.45</v>
          </cell>
        </row>
        <row r="156">
          <cell r="E156" t="str">
            <v>200712</v>
          </cell>
          <cell r="F156">
            <v>16.72</v>
          </cell>
        </row>
        <row r="157">
          <cell r="E157" t="str">
            <v>20081</v>
          </cell>
          <cell r="F157">
            <v>18.940000000000001</v>
          </cell>
        </row>
        <row r="158">
          <cell r="E158" t="str">
            <v>20082</v>
          </cell>
          <cell r="F158">
            <v>17.48</v>
          </cell>
        </row>
        <row r="159">
          <cell r="E159" t="str">
            <v>20083</v>
          </cell>
          <cell r="F159">
            <v>16.29</v>
          </cell>
        </row>
        <row r="160">
          <cell r="E160" t="str">
            <v>20084</v>
          </cell>
          <cell r="F160">
            <v>16.940000000000001</v>
          </cell>
        </row>
        <row r="161">
          <cell r="E161" t="str">
            <v>20085</v>
          </cell>
          <cell r="F161">
            <v>18.07</v>
          </cell>
        </row>
        <row r="162">
          <cell r="E162" t="str">
            <v>20086</v>
          </cell>
          <cell r="F162">
            <v>17.37</v>
          </cell>
        </row>
        <row r="163">
          <cell r="E163" t="str">
            <v>20087</v>
          </cell>
          <cell r="F163">
            <v>16.350000000000001</v>
          </cell>
        </row>
        <row r="164">
          <cell r="E164" t="str">
            <v>20088</v>
          </cell>
          <cell r="F164">
            <v>16</v>
          </cell>
        </row>
        <row r="165">
          <cell r="E165" t="str">
            <v>20089</v>
          </cell>
          <cell r="F165">
            <v>15.29</v>
          </cell>
        </row>
        <row r="166">
          <cell r="E166" t="str">
            <v>200810</v>
          </cell>
          <cell r="F166">
            <v>15.02</v>
          </cell>
        </row>
        <row r="167">
          <cell r="E167" t="str">
            <v>200811</v>
          </cell>
          <cell r="F167">
            <v>14.8</v>
          </cell>
        </row>
        <row r="168">
          <cell r="E168" t="str">
            <v>200812</v>
          </cell>
          <cell r="F168">
            <v>17.82</v>
          </cell>
        </row>
        <row r="169">
          <cell r="E169" t="str">
            <v>20091</v>
          </cell>
          <cell r="F169">
            <v>18.79</v>
          </cell>
        </row>
        <row r="170">
          <cell r="E170" t="str">
            <v>20092</v>
          </cell>
          <cell r="F170">
            <v>20.48</v>
          </cell>
        </row>
        <row r="171">
          <cell r="E171" t="str">
            <v>20093</v>
          </cell>
          <cell r="F171">
            <v>25.51</v>
          </cell>
        </row>
        <row r="172">
          <cell r="E172" t="str">
            <v>20094</v>
          </cell>
          <cell r="F172">
            <v>25.89</v>
          </cell>
        </row>
        <row r="173">
          <cell r="E173" t="str">
            <v>20095</v>
          </cell>
          <cell r="F173">
            <v>25.74</v>
          </cell>
        </row>
        <row r="174">
          <cell r="E174" t="str">
            <v>20096</v>
          </cell>
          <cell r="F174">
            <v>28.46</v>
          </cell>
        </row>
        <row r="175">
          <cell r="E175" t="str">
            <v>20097</v>
          </cell>
          <cell r="F175">
            <v>28.42</v>
          </cell>
        </row>
        <row r="176">
          <cell r="E176" t="str">
            <v>20098</v>
          </cell>
          <cell r="F176">
            <v>28.53</v>
          </cell>
        </row>
        <row r="177">
          <cell r="E177" t="str">
            <v>20099</v>
          </cell>
          <cell r="F177">
            <v>29.31</v>
          </cell>
        </row>
        <row r="178">
          <cell r="E178" t="str">
            <v>200910</v>
          </cell>
          <cell r="F178">
            <v>29.42</v>
          </cell>
        </row>
        <row r="179">
          <cell r="E179" t="str">
            <v>200911</v>
          </cell>
          <cell r="F179">
            <v>29.74</v>
          </cell>
        </row>
        <row r="180">
          <cell r="E180" t="str">
            <v>200912</v>
          </cell>
          <cell r="F180">
            <v>27.68</v>
          </cell>
        </row>
        <row r="181">
          <cell r="E181" t="str">
            <v>20101</v>
          </cell>
          <cell r="F181">
            <v>25.98</v>
          </cell>
        </row>
        <row r="182">
          <cell r="E182" t="str">
            <v>20102</v>
          </cell>
          <cell r="F182">
            <v>25.52</v>
          </cell>
        </row>
        <row r="183">
          <cell r="E183" t="str">
            <v>20103</v>
          </cell>
          <cell r="F183">
            <v>22.5</v>
          </cell>
        </row>
        <row r="184">
          <cell r="E184" t="str">
            <v>20104</v>
          </cell>
          <cell r="F184">
            <v>21.48</v>
          </cell>
        </row>
        <row r="185">
          <cell r="E185" t="str">
            <v>20105</v>
          </cell>
          <cell r="F185">
            <v>21</v>
          </cell>
        </row>
        <row r="186">
          <cell r="E186" t="str">
            <v>20106</v>
          </cell>
          <cell r="F186">
            <v>18.46</v>
          </cell>
        </row>
        <row r="187">
          <cell r="E187" t="str">
            <v>20107</v>
          </cell>
          <cell r="F187">
            <v>17.600000000000001</v>
          </cell>
        </row>
        <row r="188">
          <cell r="E188" t="str">
            <v>20108</v>
          </cell>
          <cell r="F188">
            <v>19.2</v>
          </cell>
        </row>
        <row r="189">
          <cell r="E189" t="str">
            <v>20109</v>
          </cell>
          <cell r="F189">
            <v>18.96</v>
          </cell>
        </row>
        <row r="190">
          <cell r="E190" t="str">
            <v>201010</v>
          </cell>
          <cell r="F190">
            <v>19.3</v>
          </cell>
        </row>
        <row r="191">
          <cell r="E191" t="str">
            <v>201011</v>
          </cell>
          <cell r="F191">
            <v>19.5</v>
          </cell>
        </row>
        <row r="192">
          <cell r="E192" t="str">
            <v>201012</v>
          </cell>
          <cell r="F192">
            <v>19.72</v>
          </cell>
        </row>
        <row r="193">
          <cell r="E193" t="str">
            <v>20111</v>
          </cell>
          <cell r="F193">
            <v>17.2</v>
          </cell>
        </row>
        <row r="194">
          <cell r="E194" t="str">
            <v>20112</v>
          </cell>
          <cell r="F194">
            <v>15.7</v>
          </cell>
        </row>
        <row r="195">
          <cell r="E195" t="str">
            <v>20113</v>
          </cell>
          <cell r="F195">
            <v>16.600000000000001</v>
          </cell>
        </row>
        <row r="196">
          <cell r="E196" t="str">
            <v>20114</v>
          </cell>
          <cell r="F196">
            <v>15.3</v>
          </cell>
        </row>
        <row r="197">
          <cell r="E197" t="str">
            <v>20115</v>
          </cell>
          <cell r="F197">
            <v>15.1</v>
          </cell>
        </row>
        <row r="198">
          <cell r="E198" t="str">
            <v>20116</v>
          </cell>
          <cell r="F198">
            <v>15.9</v>
          </cell>
        </row>
        <row r="199">
          <cell r="E199" t="str">
            <v>20117</v>
          </cell>
          <cell r="F199">
            <v>14.7</v>
          </cell>
        </row>
        <row r="200">
          <cell r="E200" t="str">
            <v>20118</v>
          </cell>
          <cell r="F200">
            <v>13.5</v>
          </cell>
        </row>
        <row r="201">
          <cell r="E201" t="str">
            <v>20119</v>
          </cell>
          <cell r="F201">
            <v>13</v>
          </cell>
        </row>
        <row r="202">
          <cell r="E202" t="str">
            <v>201110</v>
          </cell>
          <cell r="F202">
            <v>12.9</v>
          </cell>
        </row>
        <row r="203">
          <cell r="E203" t="str">
            <v>201111</v>
          </cell>
          <cell r="F203">
            <v>12.7</v>
          </cell>
        </row>
        <row r="204">
          <cell r="E204" t="str">
            <v>201112</v>
          </cell>
          <cell r="F204">
            <v>13.6</v>
          </cell>
        </row>
        <row r="205">
          <cell r="E205" t="str">
            <v>20121</v>
          </cell>
          <cell r="F205">
            <v>12.4</v>
          </cell>
        </row>
        <row r="206">
          <cell r="E206" t="str">
            <v>20122</v>
          </cell>
          <cell r="F206">
            <v>13</v>
          </cell>
        </row>
        <row r="207">
          <cell r="E207" t="str">
            <v>20123</v>
          </cell>
          <cell r="F207">
            <v>13.4</v>
          </cell>
        </row>
        <row r="208">
          <cell r="E208" t="str">
            <v>20124</v>
          </cell>
          <cell r="F208">
            <v>12.8</v>
          </cell>
        </row>
        <row r="209">
          <cell r="E209" t="str">
            <v>20125</v>
          </cell>
          <cell r="F209">
            <v>13.2</v>
          </cell>
        </row>
        <row r="210">
          <cell r="E210" t="str">
            <v>20126</v>
          </cell>
          <cell r="F210">
            <v>13.6</v>
          </cell>
        </row>
        <row r="211">
          <cell r="E211" t="str">
            <v>20127</v>
          </cell>
          <cell r="F211">
            <v>13.9</v>
          </cell>
        </row>
        <row r="212">
          <cell r="E212" t="str">
            <v>20128</v>
          </cell>
          <cell r="F212">
            <v>13.5</v>
          </cell>
        </row>
        <row r="213">
          <cell r="E213" t="str">
            <v>20129</v>
          </cell>
          <cell r="F213">
            <v>14.8</v>
          </cell>
        </row>
        <row r="214">
          <cell r="E214" t="str">
            <v>201210</v>
          </cell>
          <cell r="F214">
            <v>14.1</v>
          </cell>
        </row>
        <row r="215">
          <cell r="E215" t="str">
            <v>201211</v>
          </cell>
          <cell r="F215">
            <v>13.9</v>
          </cell>
        </row>
        <row r="216">
          <cell r="E216" t="str">
            <v>201212</v>
          </cell>
          <cell r="F216">
            <v>13.8</v>
          </cell>
        </row>
        <row r="217">
          <cell r="E217" t="str">
            <v>20131</v>
          </cell>
          <cell r="F217">
            <v>15.9</v>
          </cell>
        </row>
        <row r="218">
          <cell r="E218" t="str">
            <v>20132</v>
          </cell>
          <cell r="F218">
            <v>15.2</v>
          </cell>
        </row>
        <row r="219">
          <cell r="E219" t="str">
            <v>20133</v>
          </cell>
          <cell r="F219">
            <v>15.7</v>
          </cell>
        </row>
        <row r="220">
          <cell r="E220" t="str">
            <v>20134</v>
          </cell>
          <cell r="F220">
            <v>16.100000000000001</v>
          </cell>
        </row>
        <row r="221">
          <cell r="E221" t="str">
            <v>20135</v>
          </cell>
          <cell r="F221">
            <v>15.8</v>
          </cell>
        </row>
        <row r="222">
          <cell r="E222" t="str">
            <v>20136</v>
          </cell>
          <cell r="F222">
            <v>14</v>
          </cell>
        </row>
        <row r="223">
          <cell r="E223" t="str">
            <v>20137</v>
          </cell>
          <cell r="F223">
            <v>14.5</v>
          </cell>
        </row>
        <row r="224">
          <cell r="E224" t="str">
            <v>20138</v>
          </cell>
          <cell r="F224">
            <v>14.7</v>
          </cell>
        </row>
        <row r="225">
          <cell r="E225" t="str">
            <v>20139</v>
          </cell>
          <cell r="F225">
            <v>14.2</v>
          </cell>
        </row>
        <row r="226">
          <cell r="E226" t="str">
            <v>201310</v>
          </cell>
          <cell r="F226">
            <v>14.3</v>
          </cell>
        </row>
        <row r="227">
          <cell r="E227" t="str">
            <v>201311</v>
          </cell>
          <cell r="F227">
            <v>14.2</v>
          </cell>
        </row>
        <row r="228">
          <cell r="E228" t="str">
            <v>201312</v>
          </cell>
          <cell r="F228">
            <v>13.6</v>
          </cell>
        </row>
        <row r="229">
          <cell r="E229" t="str">
            <v>20141</v>
          </cell>
          <cell r="F229">
            <v>13.2</v>
          </cell>
        </row>
        <row r="230">
          <cell r="E230" t="str">
            <v>20142</v>
          </cell>
          <cell r="F230">
            <v>13.3</v>
          </cell>
        </row>
        <row r="231">
          <cell r="E231" t="str">
            <v>20143</v>
          </cell>
          <cell r="F231">
            <v>12.1</v>
          </cell>
        </row>
        <row r="232">
          <cell r="E232" t="str">
            <v>20144</v>
          </cell>
          <cell r="F232">
            <v>13.2</v>
          </cell>
        </row>
        <row r="233">
          <cell r="E233" t="str">
            <v>20145</v>
          </cell>
          <cell r="F233">
            <v>13.4</v>
          </cell>
        </row>
        <row r="234">
          <cell r="E234" t="str">
            <v>20146</v>
          </cell>
          <cell r="F234">
            <v>14.7</v>
          </cell>
        </row>
        <row r="235">
          <cell r="E235" t="str">
            <v>20147</v>
          </cell>
          <cell r="F235">
            <v>13.5</v>
          </cell>
        </row>
        <row r="236">
          <cell r="E236" t="str">
            <v>20148</v>
          </cell>
          <cell r="F236">
            <v>12.8</v>
          </cell>
        </row>
        <row r="237">
          <cell r="E237" t="str">
            <v>20149</v>
          </cell>
          <cell r="F237">
            <v>12.9</v>
          </cell>
        </row>
        <row r="238">
          <cell r="E238" t="str">
            <v>201410</v>
          </cell>
          <cell r="F238">
            <v>12.6</v>
          </cell>
        </row>
        <row r="239">
          <cell r="E239" t="str">
            <v>201411</v>
          </cell>
          <cell r="F239">
            <v>12.3</v>
          </cell>
        </row>
        <row r="240">
          <cell r="E240" t="str">
            <v>201412</v>
          </cell>
          <cell r="F240">
            <v>12.2</v>
          </cell>
        </row>
        <row r="241">
          <cell r="E241" t="str">
            <v>20151</v>
          </cell>
          <cell r="F241">
            <v>10.8</v>
          </cell>
        </row>
        <row r="242">
          <cell r="E242" t="str">
            <v>20152</v>
          </cell>
          <cell r="F242">
            <v>12.5</v>
          </cell>
        </row>
        <row r="243">
          <cell r="E243" t="str">
            <v>20153</v>
          </cell>
          <cell r="F243">
            <v>11.6</v>
          </cell>
        </row>
        <row r="244">
          <cell r="E244" t="str">
            <v>20154</v>
          </cell>
          <cell r="F244">
            <v>10.1</v>
          </cell>
        </row>
        <row r="245">
          <cell r="E245" t="str">
            <v>20155</v>
          </cell>
          <cell r="F245">
            <v>10.8</v>
          </cell>
        </row>
        <row r="246">
          <cell r="E246" t="str">
            <v>20156</v>
          </cell>
          <cell r="F246">
            <v>11.8</v>
          </cell>
        </row>
        <row r="247">
          <cell r="E247" t="str">
            <v>20157</v>
          </cell>
          <cell r="F247">
            <v>13.3</v>
          </cell>
        </row>
        <row r="248">
          <cell r="E248" t="str">
            <v>20158</v>
          </cell>
          <cell r="F248">
            <v>13.3</v>
          </cell>
        </row>
        <row r="249">
          <cell r="E249" t="str">
            <v>20159</v>
          </cell>
          <cell r="F249">
            <v>13.1</v>
          </cell>
        </row>
        <row r="250">
          <cell r="E250" t="str">
            <v>201510</v>
          </cell>
          <cell r="F250">
            <v>13.5</v>
          </cell>
        </row>
        <row r="251">
          <cell r="E251" t="str">
            <v>201511</v>
          </cell>
          <cell r="F251">
            <v>13.7</v>
          </cell>
        </row>
        <row r="252">
          <cell r="E252" t="str">
            <v>201512</v>
          </cell>
          <cell r="F252">
            <v>13.3</v>
          </cell>
        </row>
        <row r="253">
          <cell r="E253" t="str">
            <v>20161</v>
          </cell>
          <cell r="F253">
            <v>14</v>
          </cell>
        </row>
        <row r="254">
          <cell r="E254" t="str">
            <v>20162</v>
          </cell>
          <cell r="F254">
            <v>13.3</v>
          </cell>
        </row>
        <row r="255">
          <cell r="E255" t="str">
            <v>20163</v>
          </cell>
          <cell r="F255">
            <v>13.4</v>
          </cell>
        </row>
        <row r="256">
          <cell r="E256" t="str">
            <v>20164</v>
          </cell>
          <cell r="F256">
            <v>12.8</v>
          </cell>
        </row>
        <row r="257">
          <cell r="E257" t="str">
            <v>20165</v>
          </cell>
          <cell r="F257">
            <v>11.8</v>
          </cell>
        </row>
        <row r="258">
          <cell r="E258" t="str">
            <v>20166</v>
          </cell>
          <cell r="F258">
            <v>11.8</v>
          </cell>
        </row>
        <row r="259">
          <cell r="E259" t="str">
            <v>20167</v>
          </cell>
          <cell r="F259">
            <v>10.199999999999999</v>
          </cell>
        </row>
        <row r="260">
          <cell r="E260" t="str">
            <v>20168</v>
          </cell>
          <cell r="F260">
            <v>11.4</v>
          </cell>
        </row>
        <row r="261">
          <cell r="E261" t="str">
            <v>20169</v>
          </cell>
          <cell r="F261">
            <v>11.5</v>
          </cell>
        </row>
        <row r="262">
          <cell r="E262" t="str">
            <v>201610</v>
          </cell>
          <cell r="F262">
            <v>11.6</v>
          </cell>
        </row>
        <row r="263">
          <cell r="E263" t="str">
            <v>201611</v>
          </cell>
          <cell r="F263">
            <v>11.4</v>
          </cell>
        </row>
        <row r="264">
          <cell r="E264" t="str">
            <v>201612</v>
          </cell>
          <cell r="F264">
            <v>11.3</v>
          </cell>
        </row>
        <row r="265">
          <cell r="E265" t="str">
            <v>20171</v>
          </cell>
          <cell r="F265">
            <v>10.7</v>
          </cell>
        </row>
        <row r="266">
          <cell r="E266" t="str">
            <v>20172</v>
          </cell>
          <cell r="F266">
            <v>10.4</v>
          </cell>
        </row>
        <row r="267">
          <cell r="E267" t="str">
            <v>20173</v>
          </cell>
          <cell r="F267">
            <v>10.1</v>
          </cell>
        </row>
        <row r="268">
          <cell r="E268" t="str">
            <v>20174</v>
          </cell>
          <cell r="F268">
            <v>9.8000000000000007</v>
          </cell>
        </row>
        <row r="269">
          <cell r="E269" t="str">
            <v>20175</v>
          </cell>
          <cell r="F269">
            <v>9.1</v>
          </cell>
        </row>
        <row r="270">
          <cell r="E270" t="str">
            <v>20176</v>
          </cell>
          <cell r="F270">
            <v>9.1</v>
          </cell>
        </row>
        <row r="271">
          <cell r="E271" t="str">
            <v>20177</v>
          </cell>
          <cell r="F271">
            <v>8.9</v>
          </cell>
        </row>
        <row r="272">
          <cell r="E272" t="str">
            <v>20178</v>
          </cell>
          <cell r="F272">
            <v>8.6</v>
          </cell>
        </row>
        <row r="273">
          <cell r="E273" t="str">
            <v>20179</v>
          </cell>
          <cell r="F273">
            <v>9</v>
          </cell>
        </row>
        <row r="274">
          <cell r="E274" t="str">
            <v>201710</v>
          </cell>
          <cell r="F274">
            <v>8.9</v>
          </cell>
        </row>
        <row r="275">
          <cell r="E275" t="str">
            <v>201711</v>
          </cell>
          <cell r="F275">
            <v>9.1</v>
          </cell>
        </row>
        <row r="276">
          <cell r="E276" t="str">
            <v>201712</v>
          </cell>
          <cell r="F276">
            <v>8.1</v>
          </cell>
        </row>
        <row r="277">
          <cell r="E277" t="str">
            <v>20181</v>
          </cell>
          <cell r="F277">
            <v>8.6</v>
          </cell>
        </row>
        <row r="278">
          <cell r="E278" t="str">
            <v>20182</v>
          </cell>
          <cell r="F278">
            <v>8.8000000000000007</v>
          </cell>
        </row>
        <row r="279">
          <cell r="E279" t="str">
            <v>20183</v>
          </cell>
          <cell r="F279">
            <v>8.1999999999999993</v>
          </cell>
        </row>
        <row r="280">
          <cell r="E280" t="str">
            <v>20184</v>
          </cell>
          <cell r="F280">
            <v>8.3000000000000007</v>
          </cell>
        </row>
        <row r="281">
          <cell r="E281" t="str">
            <v>20185</v>
          </cell>
          <cell r="F281">
            <v>8.3000000000000007</v>
          </cell>
        </row>
        <row r="282">
          <cell r="E282" t="str">
            <v>20186</v>
          </cell>
          <cell r="F282">
            <v>8</v>
          </cell>
        </row>
        <row r="283">
          <cell r="E283" t="str">
            <v>20187</v>
          </cell>
          <cell r="F283">
            <v>8.5</v>
          </cell>
        </row>
        <row r="284">
          <cell r="E284" t="str">
            <v>20188</v>
          </cell>
          <cell r="F284">
            <v>8.1999999999999993</v>
          </cell>
        </row>
        <row r="285">
          <cell r="E285" t="str">
            <v>20189</v>
          </cell>
          <cell r="F285">
            <v>8.3000000000000007</v>
          </cell>
        </row>
        <row r="286">
          <cell r="E286" t="str">
            <v>201810</v>
          </cell>
          <cell r="F286">
            <v>8</v>
          </cell>
        </row>
        <row r="287">
          <cell r="E287" t="str">
            <v>201811</v>
          </cell>
          <cell r="F287">
            <v>8</v>
          </cell>
        </row>
        <row r="288">
          <cell r="E288" t="str">
            <v>201812</v>
          </cell>
          <cell r="F288">
            <v>8.1</v>
          </cell>
        </row>
        <row r="289">
          <cell r="E289" t="str">
            <v>20191</v>
          </cell>
          <cell r="F289">
            <v>8.4</v>
          </cell>
        </row>
        <row r="290">
          <cell r="E290" t="str">
            <v>20192</v>
          </cell>
          <cell r="F290">
            <v>8</v>
          </cell>
        </row>
        <row r="291">
          <cell r="E291" t="str">
            <v>20193</v>
          </cell>
          <cell r="F291">
            <v>8.6</v>
          </cell>
        </row>
        <row r="292">
          <cell r="E292" t="str">
            <v>20194</v>
          </cell>
          <cell r="F292">
            <v>8.5</v>
          </cell>
        </row>
        <row r="293">
          <cell r="E293" t="str">
            <v>20195</v>
          </cell>
          <cell r="F293">
            <v>8.5</v>
          </cell>
        </row>
        <row r="294">
          <cell r="E294" t="str">
            <v>20196</v>
          </cell>
          <cell r="F294">
            <v>8.5</v>
          </cell>
        </row>
        <row r="295">
          <cell r="E295" t="str">
            <v>20197</v>
          </cell>
          <cell r="F295">
            <v>8.1</v>
          </cell>
        </row>
        <row r="296">
          <cell r="E296" t="str">
            <v>20198</v>
          </cell>
          <cell r="F296">
            <v>8.1999999999999993</v>
          </cell>
        </row>
        <row r="297">
          <cell r="E297" t="str">
            <v>20199</v>
          </cell>
          <cell r="F297">
            <v>8.4</v>
          </cell>
        </row>
        <row r="298">
          <cell r="E298" t="str">
            <v>201910</v>
          </cell>
          <cell r="F298">
            <v>8.4</v>
          </cell>
        </row>
        <row r="299">
          <cell r="E299" t="str">
            <v>201911</v>
          </cell>
          <cell r="F299">
            <v>8.1999999999999993</v>
          </cell>
        </row>
        <row r="300">
          <cell r="E300" t="str">
            <v>201912</v>
          </cell>
          <cell r="F300">
            <v>8.6999999999999993</v>
          </cell>
        </row>
        <row r="301">
          <cell r="E301" t="str">
            <v>20201</v>
          </cell>
          <cell r="F301">
            <v>8.4</v>
          </cell>
        </row>
        <row r="302">
          <cell r="E302" t="str">
            <v>20202</v>
          </cell>
          <cell r="F302">
            <v>8.8000000000000007</v>
          </cell>
        </row>
        <row r="303">
          <cell r="E303" t="str">
            <v>20203</v>
          </cell>
          <cell r="F303">
            <v>10.1</v>
          </cell>
        </row>
        <row r="304">
          <cell r="E304" t="str">
            <v>20204</v>
          </cell>
          <cell r="F304">
            <v>11.1</v>
          </cell>
        </row>
        <row r="305">
          <cell r="E305" t="str">
            <v>20205</v>
          </cell>
          <cell r="F305">
            <v>11.1</v>
          </cell>
        </row>
        <row r="306">
          <cell r="E306" t="str">
            <v>20206</v>
          </cell>
          <cell r="F306">
            <v>11.1</v>
          </cell>
        </row>
        <row r="307">
          <cell r="E307" t="str">
            <v>20207</v>
          </cell>
          <cell r="F307">
            <v>10.7</v>
          </cell>
        </row>
        <row r="308">
          <cell r="E308" t="str">
            <v>20208</v>
          </cell>
          <cell r="F308">
            <v>10.4</v>
          </cell>
        </row>
        <row r="309">
          <cell r="E309" t="str">
            <v>20209</v>
          </cell>
          <cell r="F309">
            <v>10.9</v>
          </cell>
        </row>
        <row r="310">
          <cell r="E310" t="str">
            <v>202010</v>
          </cell>
          <cell r="F310">
            <v>10.5</v>
          </cell>
        </row>
        <row r="311">
          <cell r="E311" t="str">
            <v>202011</v>
          </cell>
          <cell r="F311">
            <v>10.7</v>
          </cell>
        </row>
        <row r="312">
          <cell r="E312" t="str">
            <v>202012</v>
          </cell>
          <cell r="F312">
            <v>10.1</v>
          </cell>
        </row>
        <row r="313">
          <cell r="E313" t="str">
            <v>20211</v>
          </cell>
          <cell r="F313">
            <v>9.4</v>
          </cell>
        </row>
        <row r="314">
          <cell r="E314" t="str">
            <v>20212</v>
          </cell>
          <cell r="F314">
            <v>10.1</v>
          </cell>
        </row>
        <row r="315">
          <cell r="E315" t="str">
            <v>20213</v>
          </cell>
          <cell r="F315">
            <v>9.4</v>
          </cell>
        </row>
        <row r="316">
          <cell r="E316" t="str">
            <v>20214</v>
          </cell>
          <cell r="F316">
            <v>8.1</v>
          </cell>
        </row>
        <row r="317">
          <cell r="E317" t="str">
            <v>20215</v>
          </cell>
          <cell r="F317">
            <v>8.3000000000000007</v>
          </cell>
        </row>
        <row r="318">
          <cell r="E318" t="str">
            <v>20216</v>
          </cell>
          <cell r="F318">
            <v>8.6</v>
          </cell>
        </row>
        <row r="319">
          <cell r="E319" t="str">
            <v>20217</v>
          </cell>
          <cell r="F319">
            <v>8.3000000000000007</v>
          </cell>
        </row>
        <row r="320">
          <cell r="E320" t="str">
            <v>20218</v>
          </cell>
          <cell r="F320">
            <v>8.1999999999999993</v>
          </cell>
        </row>
        <row r="321">
          <cell r="E321" t="str">
            <v>20219</v>
          </cell>
          <cell r="F321">
            <v>8.3000000000000007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E3" t="str">
            <v>20021</v>
          </cell>
          <cell r="F3">
            <v>-472</v>
          </cell>
        </row>
        <row r="4">
          <cell r="E4" t="str">
            <v>20022</v>
          </cell>
          <cell r="F4">
            <v>289</v>
          </cell>
        </row>
        <row r="5">
          <cell r="E5" t="str">
            <v>20023</v>
          </cell>
          <cell r="F5">
            <v>3136</v>
          </cell>
        </row>
        <row r="6">
          <cell r="E6" t="str">
            <v>20024</v>
          </cell>
          <cell r="F6">
            <v>1151</v>
          </cell>
        </row>
        <row r="7">
          <cell r="E7" t="str">
            <v>20025</v>
          </cell>
          <cell r="F7">
            <v>1774</v>
          </cell>
        </row>
        <row r="8">
          <cell r="E8" t="str">
            <v>20026</v>
          </cell>
          <cell r="F8">
            <v>2621</v>
          </cell>
        </row>
        <row r="9">
          <cell r="E9" t="str">
            <v>20027</v>
          </cell>
          <cell r="F9">
            <v>813</v>
          </cell>
        </row>
        <row r="10">
          <cell r="E10" t="str">
            <v>20028</v>
          </cell>
          <cell r="F10">
            <v>1585</v>
          </cell>
        </row>
        <row r="11">
          <cell r="E11" t="str">
            <v>20029</v>
          </cell>
          <cell r="F11">
            <v>3507</v>
          </cell>
        </row>
        <row r="12">
          <cell r="E12" t="str">
            <v>200210</v>
          </cell>
          <cell r="F12">
            <v>795</v>
          </cell>
        </row>
        <row r="13">
          <cell r="E13" t="str">
            <v>200211</v>
          </cell>
          <cell r="F13">
            <v>1805</v>
          </cell>
        </row>
        <row r="14">
          <cell r="E14" t="str">
            <v>200212</v>
          </cell>
          <cell r="F14">
            <v>3109</v>
          </cell>
        </row>
        <row r="15">
          <cell r="E15" t="str">
            <v>20031</v>
          </cell>
          <cell r="F15">
            <v>3386</v>
          </cell>
        </row>
        <row r="16">
          <cell r="E16" t="str">
            <v>20032</v>
          </cell>
          <cell r="F16">
            <v>998</v>
          </cell>
        </row>
        <row r="17">
          <cell r="E17" t="str">
            <v>20033</v>
          </cell>
          <cell r="F17">
            <v>4041</v>
          </cell>
        </row>
        <row r="18">
          <cell r="E18" t="str">
            <v>20034</v>
          </cell>
          <cell r="F18">
            <v>2622</v>
          </cell>
        </row>
        <row r="19">
          <cell r="E19" t="str">
            <v>20035</v>
          </cell>
          <cell r="F19">
            <v>2971</v>
          </cell>
        </row>
        <row r="20">
          <cell r="E20" t="str">
            <v>20036</v>
          </cell>
          <cell r="F20">
            <v>5842</v>
          </cell>
        </row>
        <row r="21">
          <cell r="E21" t="str">
            <v>20037</v>
          </cell>
          <cell r="F21">
            <v>1344</v>
          </cell>
        </row>
        <row r="22">
          <cell r="E22" t="str">
            <v>20038</v>
          </cell>
          <cell r="F22">
            <v>3321</v>
          </cell>
        </row>
        <row r="23">
          <cell r="E23" t="str">
            <v>20039</v>
          </cell>
          <cell r="F23">
            <v>4040</v>
          </cell>
        </row>
        <row r="24">
          <cell r="E24" t="str">
            <v>200310</v>
          </cell>
          <cell r="F24">
            <v>1218</v>
          </cell>
        </row>
        <row r="25">
          <cell r="E25" t="str">
            <v>200311</v>
          </cell>
          <cell r="F25">
            <v>1832</v>
          </cell>
        </row>
        <row r="26">
          <cell r="E26" t="str">
            <v>200312</v>
          </cell>
          <cell r="F26">
            <v>2498</v>
          </cell>
        </row>
        <row r="27">
          <cell r="E27" t="str">
            <v>20041</v>
          </cell>
          <cell r="F27">
            <v>2114</v>
          </cell>
        </row>
        <row r="28">
          <cell r="E28" t="str">
            <v>20042</v>
          </cell>
          <cell r="F28">
            <v>438</v>
          </cell>
        </row>
        <row r="29">
          <cell r="E29" t="str">
            <v>20043</v>
          </cell>
          <cell r="F29">
            <v>6557</v>
          </cell>
        </row>
        <row r="30">
          <cell r="E30" t="str">
            <v>20044</v>
          </cell>
          <cell r="F30">
            <v>2731</v>
          </cell>
        </row>
        <row r="31">
          <cell r="E31" t="str">
            <v>20045</v>
          </cell>
          <cell r="F31">
            <v>2443</v>
          </cell>
        </row>
        <row r="32">
          <cell r="E32" t="str">
            <v>20046</v>
          </cell>
          <cell r="F32">
            <v>3229</v>
          </cell>
        </row>
        <row r="33">
          <cell r="E33" t="str">
            <v>20047</v>
          </cell>
          <cell r="F33">
            <v>590</v>
          </cell>
        </row>
        <row r="34">
          <cell r="E34" t="str">
            <v>20048</v>
          </cell>
          <cell r="F34">
            <v>1501</v>
          </cell>
        </row>
        <row r="35">
          <cell r="E35" t="str">
            <v>20049</v>
          </cell>
          <cell r="F35">
            <v>2981</v>
          </cell>
        </row>
        <row r="36">
          <cell r="E36" t="str">
            <v>200410</v>
          </cell>
          <cell r="F36">
            <v>483</v>
          </cell>
        </row>
        <row r="37">
          <cell r="E37" t="str">
            <v>200411</v>
          </cell>
          <cell r="F37">
            <v>1977</v>
          </cell>
        </row>
        <row r="38">
          <cell r="E38" t="str">
            <v>200412</v>
          </cell>
          <cell r="F38">
            <v>3586</v>
          </cell>
        </row>
        <row r="39">
          <cell r="E39" t="str">
            <v>20051</v>
          </cell>
          <cell r="F39">
            <v>3620</v>
          </cell>
        </row>
        <row r="40">
          <cell r="E40" t="str">
            <v>20052</v>
          </cell>
          <cell r="F40">
            <v>824</v>
          </cell>
        </row>
        <row r="41">
          <cell r="E41" t="str">
            <v>20053</v>
          </cell>
          <cell r="F41">
            <v>4189</v>
          </cell>
        </row>
        <row r="42">
          <cell r="E42" t="str">
            <v>20054</v>
          </cell>
          <cell r="F42">
            <v>1999</v>
          </cell>
        </row>
        <row r="43">
          <cell r="E43" t="str">
            <v>20055</v>
          </cell>
          <cell r="F43">
            <v>1968</v>
          </cell>
        </row>
        <row r="44">
          <cell r="E44" t="str">
            <v>20056</v>
          </cell>
          <cell r="F44">
            <v>4723</v>
          </cell>
        </row>
        <row r="45">
          <cell r="E45" t="str">
            <v>20057</v>
          </cell>
          <cell r="F45">
            <v>629</v>
          </cell>
        </row>
        <row r="46">
          <cell r="E46" t="str">
            <v>20058</v>
          </cell>
          <cell r="F46">
            <v>2097</v>
          </cell>
        </row>
        <row r="47">
          <cell r="E47" t="str">
            <v>20059</v>
          </cell>
          <cell r="F47">
            <v>6041</v>
          </cell>
        </row>
        <row r="48">
          <cell r="E48" t="str">
            <v>200510</v>
          </cell>
          <cell r="F48">
            <v>-974</v>
          </cell>
        </row>
        <row r="49">
          <cell r="E49" t="str">
            <v>200511</v>
          </cell>
          <cell r="F49">
            <v>2368</v>
          </cell>
        </row>
        <row r="50">
          <cell r="E50" t="str">
            <v>200512</v>
          </cell>
          <cell r="F50">
            <v>2524</v>
          </cell>
        </row>
        <row r="51">
          <cell r="E51" t="str">
            <v>20061</v>
          </cell>
          <cell r="F51">
            <v>6323</v>
          </cell>
        </row>
        <row r="52">
          <cell r="E52" t="str">
            <v>20062</v>
          </cell>
          <cell r="F52">
            <v>1737</v>
          </cell>
        </row>
        <row r="53">
          <cell r="E53" t="str">
            <v>20063</v>
          </cell>
          <cell r="F53">
            <v>7472</v>
          </cell>
        </row>
        <row r="54">
          <cell r="E54" t="str">
            <v>20064</v>
          </cell>
          <cell r="F54">
            <v>3325</v>
          </cell>
        </row>
        <row r="55">
          <cell r="E55" t="str">
            <v>20065</v>
          </cell>
          <cell r="F55">
            <v>3785</v>
          </cell>
        </row>
        <row r="56">
          <cell r="E56" t="str">
            <v>20066</v>
          </cell>
          <cell r="F56">
            <v>3843</v>
          </cell>
        </row>
        <row r="57">
          <cell r="E57" t="str">
            <v>20067</v>
          </cell>
          <cell r="F57">
            <v>2254</v>
          </cell>
        </row>
        <row r="58">
          <cell r="E58" t="str">
            <v>20068</v>
          </cell>
          <cell r="F58">
            <v>3362</v>
          </cell>
        </row>
        <row r="59">
          <cell r="E59" t="str">
            <v>20069</v>
          </cell>
          <cell r="F59">
            <v>3077</v>
          </cell>
        </row>
        <row r="60">
          <cell r="E60" t="str">
            <v>200610</v>
          </cell>
          <cell r="F60">
            <v>894</v>
          </cell>
        </row>
        <row r="61">
          <cell r="E61" t="str">
            <v>200611</v>
          </cell>
          <cell r="F61">
            <v>2788</v>
          </cell>
        </row>
        <row r="62">
          <cell r="E62" t="str">
            <v>200612</v>
          </cell>
          <cell r="F62">
            <v>3837</v>
          </cell>
        </row>
        <row r="63">
          <cell r="E63" t="str">
            <v>20071</v>
          </cell>
          <cell r="F63">
            <v>6908</v>
          </cell>
        </row>
        <row r="64">
          <cell r="E64" t="str">
            <v>20072</v>
          </cell>
          <cell r="F64">
            <v>3083</v>
          </cell>
        </row>
        <row r="65">
          <cell r="E65" t="str">
            <v>20073</v>
          </cell>
          <cell r="F65">
            <v>6311</v>
          </cell>
        </row>
        <row r="66">
          <cell r="E66" t="str">
            <v>20074</v>
          </cell>
          <cell r="F66">
            <v>6103</v>
          </cell>
        </row>
        <row r="67">
          <cell r="E67" t="str">
            <v>20075</v>
          </cell>
          <cell r="F67">
            <v>3824</v>
          </cell>
        </row>
        <row r="68">
          <cell r="E68" t="str">
            <v>20076</v>
          </cell>
          <cell r="F68">
            <v>7042</v>
          </cell>
        </row>
        <row r="69">
          <cell r="E69" t="str">
            <v>20077</v>
          </cell>
          <cell r="F69">
            <v>3100</v>
          </cell>
        </row>
        <row r="70">
          <cell r="E70" t="str">
            <v>20078</v>
          </cell>
          <cell r="F70">
            <v>6961</v>
          </cell>
        </row>
        <row r="71">
          <cell r="E71" t="str">
            <v>20079</v>
          </cell>
          <cell r="F71">
            <v>5290</v>
          </cell>
        </row>
        <row r="72">
          <cell r="E72" t="str">
            <v>200710</v>
          </cell>
          <cell r="F72">
            <v>3688</v>
          </cell>
        </row>
        <row r="73">
          <cell r="E73" t="str">
            <v>200711</v>
          </cell>
          <cell r="F73">
            <v>3073</v>
          </cell>
        </row>
        <row r="74">
          <cell r="E74" t="str">
            <v>200712</v>
          </cell>
          <cell r="F74">
            <v>4281</v>
          </cell>
        </row>
        <row r="75">
          <cell r="E75" t="str">
            <v>20081</v>
          </cell>
          <cell r="F75">
            <v>10859</v>
          </cell>
        </row>
        <row r="76">
          <cell r="E76" t="str">
            <v>20082</v>
          </cell>
          <cell r="F76">
            <v>4731</v>
          </cell>
        </row>
        <row r="77">
          <cell r="E77" t="str">
            <v>20083</v>
          </cell>
          <cell r="F77">
            <v>6391</v>
          </cell>
        </row>
        <row r="78">
          <cell r="E78" t="str">
            <v>20084</v>
          </cell>
          <cell r="F78">
            <v>7076</v>
          </cell>
        </row>
        <row r="79">
          <cell r="E79" t="str">
            <v>20085</v>
          </cell>
          <cell r="F79">
            <v>5678</v>
          </cell>
        </row>
        <row r="80">
          <cell r="E80" t="str">
            <v>20086</v>
          </cell>
          <cell r="F80">
            <v>5976</v>
          </cell>
        </row>
        <row r="81">
          <cell r="E81" t="str">
            <v>20087</v>
          </cell>
          <cell r="F81">
            <v>4890</v>
          </cell>
        </row>
        <row r="82">
          <cell r="E82" t="str">
            <v>20088</v>
          </cell>
          <cell r="F82">
            <v>4575</v>
          </cell>
        </row>
        <row r="83">
          <cell r="E83" t="str">
            <v>20089</v>
          </cell>
          <cell r="F83">
            <v>5659</v>
          </cell>
        </row>
        <row r="84">
          <cell r="E84" t="str">
            <v>200810</v>
          </cell>
          <cell r="F84">
            <v>1288</v>
          </cell>
        </row>
        <row r="85">
          <cell r="E85" t="str">
            <v>200811</v>
          </cell>
          <cell r="F85">
            <v>4517</v>
          </cell>
        </row>
        <row r="86">
          <cell r="E86" t="str">
            <v>200812</v>
          </cell>
          <cell r="F86">
            <v>8164</v>
          </cell>
        </row>
        <row r="87">
          <cell r="E87" t="str">
            <v>20091</v>
          </cell>
          <cell r="F87">
            <v>13990</v>
          </cell>
        </row>
        <row r="88">
          <cell r="E88" t="str">
            <v>20092</v>
          </cell>
          <cell r="F88">
            <v>11131</v>
          </cell>
        </row>
        <row r="89">
          <cell r="E89" t="str">
            <v>20093</v>
          </cell>
          <cell r="F89">
            <v>22011</v>
          </cell>
        </row>
        <row r="90">
          <cell r="E90" t="str">
            <v>20094</v>
          </cell>
          <cell r="F90">
            <v>5452</v>
          </cell>
        </row>
        <row r="91">
          <cell r="E91" t="str">
            <v>20095</v>
          </cell>
          <cell r="F91">
            <v>14959</v>
          </cell>
        </row>
        <row r="92">
          <cell r="E92" t="str">
            <v>20096</v>
          </cell>
          <cell r="F92">
            <v>21067</v>
          </cell>
        </row>
        <row r="93">
          <cell r="E93" t="str">
            <v>20097</v>
          </cell>
          <cell r="F93">
            <v>7388</v>
          </cell>
        </row>
        <row r="94">
          <cell r="E94" t="str">
            <v>20098</v>
          </cell>
          <cell r="F94">
            <v>7650</v>
          </cell>
        </row>
        <row r="95">
          <cell r="E95" t="str">
            <v>20099</v>
          </cell>
          <cell r="F95">
            <v>11871</v>
          </cell>
        </row>
        <row r="96">
          <cell r="E96" t="str">
            <v>200910</v>
          </cell>
          <cell r="F96">
            <v>5985</v>
          </cell>
        </row>
        <row r="97">
          <cell r="E97" t="str">
            <v>200911</v>
          </cell>
          <cell r="F97">
            <v>9501</v>
          </cell>
        </row>
        <row r="98">
          <cell r="E98" t="str">
            <v>200912</v>
          </cell>
          <cell r="F98">
            <v>8100</v>
          </cell>
        </row>
        <row r="99">
          <cell r="E99" t="str">
            <v>20101</v>
          </cell>
          <cell r="F99">
            <v>20550</v>
          </cell>
        </row>
        <row r="100">
          <cell r="E100" t="str">
            <v>20102</v>
          </cell>
          <cell r="F100">
            <v>10877</v>
          </cell>
        </row>
        <row r="101">
          <cell r="E101" t="str">
            <v>20103</v>
          </cell>
          <cell r="F101">
            <v>13830</v>
          </cell>
        </row>
        <row r="102">
          <cell r="E102" t="str">
            <v>20104</v>
          </cell>
          <cell r="F102">
            <v>14919</v>
          </cell>
        </row>
        <row r="103">
          <cell r="E103" t="str">
            <v>20105</v>
          </cell>
          <cell r="F103">
            <v>10805</v>
          </cell>
        </row>
        <row r="104">
          <cell r="E104" t="str">
            <v>20106</v>
          </cell>
          <cell r="F104">
            <v>10196</v>
          </cell>
        </row>
        <row r="105">
          <cell r="E105" t="str">
            <v>20107</v>
          </cell>
          <cell r="F105">
            <v>7202</v>
          </cell>
        </row>
        <row r="106">
          <cell r="E106" t="str">
            <v>20108</v>
          </cell>
          <cell r="F106">
            <v>10646</v>
          </cell>
        </row>
        <row r="107">
          <cell r="E107" t="str">
            <v>20109</v>
          </cell>
          <cell r="F107">
            <v>11224</v>
          </cell>
        </row>
        <row r="108">
          <cell r="E108" t="str">
            <v>201010</v>
          </cell>
          <cell r="F108">
            <v>8608</v>
          </cell>
        </row>
        <row r="109">
          <cell r="E109" t="str">
            <v>201011</v>
          </cell>
          <cell r="F109">
            <v>10554</v>
          </cell>
        </row>
        <row r="110">
          <cell r="E110" t="str">
            <v>201012</v>
          </cell>
          <cell r="F110">
            <v>10780</v>
          </cell>
        </row>
        <row r="111">
          <cell r="E111" t="str">
            <v>20111</v>
          </cell>
          <cell r="F111">
            <v>17560</v>
          </cell>
        </row>
        <row r="112">
          <cell r="E112" t="str">
            <v>20112</v>
          </cell>
          <cell r="F112">
            <v>6468</v>
          </cell>
        </row>
        <row r="113">
          <cell r="E113" t="str">
            <v>20113</v>
          </cell>
          <cell r="F113">
            <v>18212</v>
          </cell>
        </row>
        <row r="114">
          <cell r="E114" t="str">
            <v>20114</v>
          </cell>
          <cell r="F114">
            <v>13673</v>
          </cell>
        </row>
        <row r="115">
          <cell r="E115" t="str">
            <v>20115</v>
          </cell>
          <cell r="F115">
            <v>10854</v>
          </cell>
        </row>
        <row r="116">
          <cell r="E116" t="str">
            <v>20116</v>
          </cell>
          <cell r="F116">
            <v>10873</v>
          </cell>
        </row>
        <row r="117">
          <cell r="E117" t="str">
            <v>20117</v>
          </cell>
          <cell r="F117">
            <v>5393</v>
          </cell>
        </row>
        <row r="118">
          <cell r="E118" t="str">
            <v>20118</v>
          </cell>
          <cell r="F118">
            <v>10741</v>
          </cell>
        </row>
        <row r="119">
          <cell r="E119" t="str">
            <v>20119</v>
          </cell>
          <cell r="F119">
            <v>4279</v>
          </cell>
        </row>
        <row r="120">
          <cell r="E120" t="str">
            <v>201110</v>
          </cell>
          <cell r="F120">
            <v>7908</v>
          </cell>
        </row>
        <row r="121">
          <cell r="E121" t="str">
            <v>201111</v>
          </cell>
          <cell r="F121">
            <v>9581</v>
          </cell>
        </row>
        <row r="122">
          <cell r="E122" t="str">
            <v>201112</v>
          </cell>
          <cell r="F122">
            <v>12744</v>
          </cell>
        </row>
        <row r="123">
          <cell r="E123" t="str">
            <v>20121</v>
          </cell>
          <cell r="F123">
            <v>9754</v>
          </cell>
        </row>
        <row r="124">
          <cell r="E124" t="str">
            <v>20122</v>
          </cell>
          <cell r="F124">
            <v>10431</v>
          </cell>
        </row>
        <row r="125">
          <cell r="E125" t="str">
            <v>20123</v>
          </cell>
          <cell r="F125">
            <v>18704</v>
          </cell>
        </row>
        <row r="126">
          <cell r="E126" t="str">
            <v>20124</v>
          </cell>
          <cell r="F126">
            <v>9637</v>
          </cell>
        </row>
        <row r="127">
          <cell r="E127" t="str">
            <v>20125</v>
          </cell>
          <cell r="F127">
            <v>11432</v>
          </cell>
        </row>
        <row r="128">
          <cell r="E128" t="str">
            <v>20126</v>
          </cell>
          <cell r="F128">
            <v>17802</v>
          </cell>
        </row>
        <row r="129">
          <cell r="E129" t="str">
            <v>20127</v>
          </cell>
          <cell r="F129">
            <v>10522</v>
          </cell>
        </row>
        <row r="130">
          <cell r="E130" t="str">
            <v>20128</v>
          </cell>
          <cell r="F130">
            <v>12475</v>
          </cell>
        </row>
        <row r="131">
          <cell r="E131" t="str">
            <v>20129</v>
          </cell>
          <cell r="F131">
            <v>16462</v>
          </cell>
        </row>
        <row r="132">
          <cell r="E132" t="str">
            <v>201210</v>
          </cell>
          <cell r="F132">
            <v>12906</v>
          </cell>
        </row>
        <row r="133">
          <cell r="E133" t="str">
            <v>201211</v>
          </cell>
          <cell r="F133">
            <v>11225</v>
          </cell>
        </row>
        <row r="134">
          <cell r="E134" t="str">
            <v>201212</v>
          </cell>
          <cell r="F134">
            <v>16282</v>
          </cell>
        </row>
        <row r="135">
          <cell r="E135" t="str">
            <v>20131</v>
          </cell>
          <cell r="F135">
            <v>25446</v>
          </cell>
        </row>
        <row r="136">
          <cell r="E136" t="str">
            <v>20132</v>
          </cell>
          <cell r="F136">
            <v>10705</v>
          </cell>
        </row>
        <row r="137">
          <cell r="E137" t="str">
            <v>20133</v>
          </cell>
          <cell r="F137">
            <v>25503</v>
          </cell>
        </row>
        <row r="138">
          <cell r="E138" t="str">
            <v>20134</v>
          </cell>
          <cell r="F138">
            <v>17629</v>
          </cell>
        </row>
        <row r="139">
          <cell r="E139" t="str">
            <v>20135</v>
          </cell>
          <cell r="F139">
            <v>11871</v>
          </cell>
        </row>
        <row r="140">
          <cell r="E140" t="str">
            <v>20136</v>
          </cell>
          <cell r="F140">
            <v>10375</v>
          </cell>
        </row>
        <row r="141">
          <cell r="E141" t="str">
            <v>20137</v>
          </cell>
          <cell r="F141">
            <v>8191</v>
          </cell>
        </row>
        <row r="142">
          <cell r="E142" t="str">
            <v>20138</v>
          </cell>
          <cell r="F142">
            <v>15841</v>
          </cell>
        </row>
        <row r="143">
          <cell r="E143" t="str">
            <v>20139</v>
          </cell>
          <cell r="F143">
            <v>14120</v>
          </cell>
        </row>
        <row r="144">
          <cell r="E144" t="str">
            <v>201310</v>
          </cell>
          <cell r="F144">
            <v>8645</v>
          </cell>
        </row>
        <row r="145">
          <cell r="E145" t="str">
            <v>201311</v>
          </cell>
          <cell r="F145">
            <v>12310</v>
          </cell>
        </row>
        <row r="146">
          <cell r="E146" t="str">
            <v>201312</v>
          </cell>
          <cell r="F146">
            <v>12532</v>
          </cell>
        </row>
        <row r="147">
          <cell r="E147" t="str">
            <v>20141</v>
          </cell>
          <cell r="F147">
            <v>26004</v>
          </cell>
        </row>
        <row r="148">
          <cell r="E148" t="str">
            <v>20142</v>
          </cell>
          <cell r="F148">
            <v>9370</v>
          </cell>
        </row>
        <row r="149">
          <cell r="E149" t="str">
            <v>20143</v>
          </cell>
          <cell r="F149">
            <v>20934</v>
          </cell>
        </row>
        <row r="150">
          <cell r="E150" t="str">
            <v>20144</v>
          </cell>
          <cell r="F150">
            <v>15259</v>
          </cell>
        </row>
        <row r="151">
          <cell r="E151" t="str">
            <v>20145</v>
          </cell>
          <cell r="F151">
            <v>14013</v>
          </cell>
        </row>
        <row r="152">
          <cell r="E152" t="str">
            <v>20146</v>
          </cell>
          <cell r="F152">
            <v>19673</v>
          </cell>
        </row>
        <row r="153">
          <cell r="E153" t="str">
            <v>20147</v>
          </cell>
          <cell r="F153">
            <v>2737</v>
          </cell>
        </row>
        <row r="154">
          <cell r="E154" t="str">
            <v>20148</v>
          </cell>
          <cell r="F154">
            <v>9577</v>
          </cell>
        </row>
        <row r="155">
          <cell r="E155" t="str">
            <v>20149</v>
          </cell>
          <cell r="F155">
            <v>11355</v>
          </cell>
        </row>
        <row r="156">
          <cell r="E156" t="str">
            <v>201410</v>
          </cell>
          <cell r="F156">
            <v>6807</v>
          </cell>
        </row>
        <row r="157">
          <cell r="E157" t="str">
            <v>201411</v>
          </cell>
          <cell r="F157">
            <v>11459</v>
          </cell>
        </row>
        <row r="158">
          <cell r="E158" t="str">
            <v>201412</v>
          </cell>
          <cell r="F158">
            <v>16945</v>
          </cell>
        </row>
        <row r="159">
          <cell r="E159" t="str">
            <v>20151</v>
          </cell>
          <cell r="F159">
            <v>20516</v>
          </cell>
        </row>
        <row r="160">
          <cell r="E160" t="str">
            <v>20152</v>
          </cell>
          <cell r="F160">
            <v>13609</v>
          </cell>
        </row>
        <row r="161">
          <cell r="E161" t="str">
            <v>20153</v>
          </cell>
          <cell r="F161">
            <v>12433</v>
          </cell>
        </row>
        <row r="162">
          <cell r="E162" t="str">
            <v>20154</v>
          </cell>
          <cell r="F162">
            <v>10582</v>
          </cell>
        </row>
        <row r="163">
          <cell r="E163" t="str">
            <v>20155</v>
          </cell>
          <cell r="F163">
            <v>12397</v>
          </cell>
        </row>
        <row r="164">
          <cell r="E164" t="str">
            <v>20156</v>
          </cell>
          <cell r="F164">
            <v>18384</v>
          </cell>
        </row>
        <row r="165">
          <cell r="E165" t="str">
            <v>20157</v>
          </cell>
          <cell r="F165">
            <v>7511</v>
          </cell>
        </row>
        <row r="166">
          <cell r="E166" t="str">
            <v>20158</v>
          </cell>
          <cell r="F166">
            <v>11097</v>
          </cell>
        </row>
        <row r="167">
          <cell r="E167" t="str">
            <v>20159</v>
          </cell>
          <cell r="F167">
            <v>13571</v>
          </cell>
        </row>
        <row r="168">
          <cell r="E168" t="str">
            <v>201510</v>
          </cell>
          <cell r="F168">
            <v>5593</v>
          </cell>
        </row>
        <row r="169">
          <cell r="E169" t="str">
            <v>201511</v>
          </cell>
          <cell r="F169">
            <v>10255</v>
          </cell>
        </row>
        <row r="170">
          <cell r="E170" t="str">
            <v>201512</v>
          </cell>
          <cell r="F170">
            <v>18114</v>
          </cell>
        </row>
        <row r="171">
          <cell r="E171" t="str">
            <v>20161</v>
          </cell>
          <cell r="F171">
            <v>34758</v>
          </cell>
        </row>
        <row r="172">
          <cell r="E172" t="str">
            <v>20162</v>
          </cell>
          <cell r="F172">
            <v>8312</v>
          </cell>
        </row>
        <row r="173">
          <cell r="E173" t="str">
            <v>20163</v>
          </cell>
          <cell r="F173">
            <v>23931</v>
          </cell>
        </row>
        <row r="174">
          <cell r="E174" t="str">
            <v>20164</v>
          </cell>
          <cell r="F174">
            <v>7809</v>
          </cell>
        </row>
        <row r="175">
          <cell r="E175" t="str">
            <v>20165</v>
          </cell>
          <cell r="F175">
            <v>6770</v>
          </cell>
        </row>
        <row r="176">
          <cell r="E176" t="str">
            <v>20166</v>
          </cell>
          <cell r="F176">
            <v>16479</v>
          </cell>
        </row>
        <row r="177">
          <cell r="E177" t="str">
            <v>20167</v>
          </cell>
          <cell r="F177">
            <v>4791</v>
          </cell>
        </row>
        <row r="178">
          <cell r="E178" t="str">
            <v>20168</v>
          </cell>
          <cell r="F178">
            <v>14605</v>
          </cell>
        </row>
        <row r="179">
          <cell r="E179" t="str">
            <v>20169</v>
          </cell>
          <cell r="F179">
            <v>17115</v>
          </cell>
        </row>
        <row r="180">
          <cell r="E180" t="str">
            <v>201610</v>
          </cell>
          <cell r="F180">
            <v>8865</v>
          </cell>
        </row>
        <row r="181">
          <cell r="E181" t="str">
            <v>201611</v>
          </cell>
          <cell r="F181">
            <v>18328</v>
          </cell>
        </row>
        <row r="182">
          <cell r="E182" t="str">
            <v>201612</v>
          </cell>
          <cell r="F182">
            <v>16260</v>
          </cell>
        </row>
        <row r="183">
          <cell r="E183" t="str">
            <v>20171</v>
          </cell>
          <cell r="F183">
            <v>37720.076978999998</v>
          </cell>
        </row>
        <row r="184">
          <cell r="E184" t="str">
            <v>20172</v>
          </cell>
          <cell r="F184">
            <v>11055.322109000001</v>
          </cell>
        </row>
        <row r="185">
          <cell r="E185" t="str">
            <v>20173</v>
          </cell>
          <cell r="F185">
            <v>25471.639557999999</v>
          </cell>
        </row>
        <row r="186">
          <cell r="E186" t="str">
            <v>20174</v>
          </cell>
          <cell r="F186">
            <v>19558.923770000001</v>
          </cell>
        </row>
        <row r="187">
          <cell r="E187" t="str">
            <v>20175</v>
          </cell>
          <cell r="F187">
            <v>17811.732937000001</v>
          </cell>
        </row>
        <row r="188">
          <cell r="E188" t="str">
            <v>20176</v>
          </cell>
          <cell r="F188">
            <v>25885.910952999999</v>
          </cell>
        </row>
        <row r="189">
          <cell r="E189" t="str">
            <v>20177</v>
          </cell>
          <cell r="F189">
            <v>21188.106567999999</v>
          </cell>
        </row>
        <row r="190">
          <cell r="E190" t="str">
            <v>20178</v>
          </cell>
          <cell r="F190">
            <v>20485.507710000002</v>
          </cell>
        </row>
        <row r="191">
          <cell r="E191" t="str">
            <v>20179</v>
          </cell>
          <cell r="F191">
            <v>25438.606938000001</v>
          </cell>
        </row>
        <row r="192">
          <cell r="E192" t="str">
            <v>201710</v>
          </cell>
          <cell r="F192">
            <v>15861.15144</v>
          </cell>
        </row>
        <row r="193">
          <cell r="E193" t="str">
            <v>201711</v>
          </cell>
          <cell r="F193">
            <v>22955.981253999998</v>
          </cell>
        </row>
        <row r="194">
          <cell r="E194" t="str">
            <v>201712</v>
          </cell>
          <cell r="F194">
            <v>18102.882549999998</v>
          </cell>
        </row>
        <row r="195">
          <cell r="E195" t="str">
            <v>20181</v>
          </cell>
          <cell r="F195">
            <v>31417.220554</v>
          </cell>
        </row>
        <row r="196">
          <cell r="E196" t="str">
            <v>20182</v>
          </cell>
          <cell r="F196">
            <v>12064.387925000001</v>
          </cell>
        </row>
        <row r="197">
          <cell r="E197" t="str">
            <v>20183</v>
          </cell>
          <cell r="F197">
            <v>17091.476698999999</v>
          </cell>
        </row>
        <row r="198">
          <cell r="E198" t="str">
            <v>20184</v>
          </cell>
          <cell r="F198">
            <v>22242.940548999999</v>
          </cell>
        </row>
        <row r="199">
          <cell r="E199" t="str">
            <v>20185</v>
          </cell>
          <cell r="F199">
            <v>11233.624451</v>
          </cell>
        </row>
        <row r="200">
          <cell r="E200" t="str">
            <v>20186</v>
          </cell>
          <cell r="F200">
            <v>20372.964614</v>
          </cell>
        </row>
        <row r="201">
          <cell r="E201" t="str">
            <v>20187</v>
          </cell>
          <cell r="F201">
            <v>18381.941956999999</v>
          </cell>
        </row>
        <row r="202">
          <cell r="E202" t="str">
            <v>20188</v>
          </cell>
          <cell r="F202">
            <v>24078.248887999998</v>
          </cell>
        </row>
        <row r="203">
          <cell r="E203" t="str">
            <v>20189</v>
          </cell>
          <cell r="F203">
            <v>23061.250118</v>
          </cell>
        </row>
        <row r="204">
          <cell r="E204" t="str">
            <v>201810</v>
          </cell>
          <cell r="F204">
            <v>9537.8029869999991</v>
          </cell>
        </row>
        <row r="205">
          <cell r="E205" t="str">
            <v>201811</v>
          </cell>
          <cell r="F205">
            <v>16127.165255</v>
          </cell>
        </row>
        <row r="206">
          <cell r="E206" t="str">
            <v>201812</v>
          </cell>
          <cell r="F206">
            <v>19311.174083000002</v>
          </cell>
        </row>
        <row r="207">
          <cell r="E207" t="str">
            <v>20191</v>
          </cell>
          <cell r="F207">
            <v>46791.139268999999</v>
          </cell>
        </row>
        <row r="208">
          <cell r="E208" t="str">
            <v>20192</v>
          </cell>
          <cell r="F208">
            <v>9665.1266849999993</v>
          </cell>
        </row>
        <row r="209">
          <cell r="E209" t="str">
            <v>20193</v>
          </cell>
          <cell r="F209">
            <v>29602.336533999998</v>
          </cell>
        </row>
        <row r="210">
          <cell r="E210" t="str">
            <v>20194</v>
          </cell>
          <cell r="F210">
            <v>16709.538168999999</v>
          </cell>
        </row>
        <row r="211">
          <cell r="E211" t="str">
            <v>20195</v>
          </cell>
          <cell r="F211">
            <v>17123.729277999999</v>
          </cell>
        </row>
        <row r="212">
          <cell r="E212" t="str">
            <v>20196</v>
          </cell>
          <cell r="F212">
            <v>26243.302006000002</v>
          </cell>
        </row>
        <row r="213">
          <cell r="E213" t="str">
            <v>20197</v>
          </cell>
          <cell r="F213">
            <v>12872.110273</v>
          </cell>
        </row>
        <row r="214">
          <cell r="E214" t="str">
            <v>20198</v>
          </cell>
          <cell r="F214">
            <v>21955.765013</v>
          </cell>
        </row>
        <row r="215">
          <cell r="E215" t="str">
            <v>20199</v>
          </cell>
          <cell r="F215">
            <v>25142.210456000001</v>
          </cell>
        </row>
        <row r="216">
          <cell r="E216" t="str">
            <v>201910</v>
          </cell>
          <cell r="F216">
            <v>8680.0021219999999</v>
          </cell>
        </row>
        <row r="217">
          <cell r="E217" t="str">
            <v>201911</v>
          </cell>
          <cell r="F217">
            <v>19936.916232</v>
          </cell>
        </row>
        <row r="218">
          <cell r="E218" t="str">
            <v>201912</v>
          </cell>
          <cell r="F218">
            <v>22013</v>
          </cell>
        </row>
        <row r="219">
          <cell r="E219" t="str">
            <v>20201</v>
          </cell>
          <cell r="F219">
            <v>50535</v>
          </cell>
        </row>
        <row r="220">
          <cell r="E220" t="str">
            <v>20202</v>
          </cell>
          <cell r="F220">
            <v>8737</v>
          </cell>
        </row>
        <row r="221">
          <cell r="E221" t="str">
            <v>20203</v>
          </cell>
          <cell r="F221">
            <v>51838</v>
          </cell>
        </row>
        <row r="222">
          <cell r="E222" t="str">
            <v>20204</v>
          </cell>
          <cell r="F222">
            <v>31027</v>
          </cell>
        </row>
        <row r="223">
          <cell r="E223" t="str">
            <v>20205</v>
          </cell>
          <cell r="F223">
            <v>31866</v>
          </cell>
        </row>
        <row r="224">
          <cell r="E224" t="str">
            <v>20206</v>
          </cell>
          <cell r="F224">
            <v>34681</v>
          </cell>
        </row>
        <row r="225">
          <cell r="E225" t="str">
            <v>20207</v>
          </cell>
          <cell r="F225">
            <v>16928</v>
          </cell>
        </row>
        <row r="226">
          <cell r="E226" t="str">
            <v>20208</v>
          </cell>
          <cell r="F226">
            <v>35853</v>
          </cell>
        </row>
        <row r="227">
          <cell r="E227" t="str">
            <v>20209</v>
          </cell>
          <cell r="F227">
            <v>34693</v>
          </cell>
        </row>
        <row r="228">
          <cell r="E228" t="str">
            <v>202010</v>
          </cell>
          <cell r="F228">
            <v>13929</v>
          </cell>
        </row>
        <row r="229">
          <cell r="E229" t="str">
            <v>202011</v>
          </cell>
          <cell r="F229">
            <v>21355</v>
          </cell>
        </row>
        <row r="230">
          <cell r="E230" t="str">
            <v>202012</v>
          </cell>
          <cell r="F230">
            <v>17192</v>
          </cell>
        </row>
        <row r="231">
          <cell r="E231" t="str">
            <v>20211</v>
          </cell>
          <cell r="F231">
            <v>51870</v>
          </cell>
        </row>
        <row r="232">
          <cell r="E232" t="str">
            <v>20212</v>
          </cell>
          <cell r="F232">
            <v>17238</v>
          </cell>
        </row>
        <row r="233">
          <cell r="E233" t="str">
            <v>20213</v>
          </cell>
          <cell r="F233">
            <v>33724</v>
          </cell>
        </row>
        <row r="234">
          <cell r="E234" t="str">
            <v>20214</v>
          </cell>
          <cell r="F234">
            <v>18567</v>
          </cell>
        </row>
        <row r="235">
          <cell r="E235" t="str">
            <v>20215</v>
          </cell>
          <cell r="F235">
            <v>19519</v>
          </cell>
        </row>
        <row r="236">
          <cell r="E236" t="str">
            <v>20216</v>
          </cell>
          <cell r="F236">
            <v>37009</v>
          </cell>
        </row>
        <row r="237">
          <cell r="E237" t="str">
            <v>20217</v>
          </cell>
          <cell r="F237">
            <v>10737</v>
          </cell>
        </row>
        <row r="238">
          <cell r="E238" t="str">
            <v>20218</v>
          </cell>
          <cell r="F238">
            <v>29558</v>
          </cell>
        </row>
        <row r="239">
          <cell r="E239" t="str">
            <v>20219</v>
          </cell>
          <cell r="F239">
            <v>29000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5"/>
  <sheetViews>
    <sheetView tabSelected="1" zoomScale="109" workbookViewId="0">
      <pane ySplit="3" topLeftCell="A4" activePane="bottomLeft" state="frozen"/>
      <selection pane="bottomLeft" activeCell="R4" sqref="R4:R10"/>
    </sheetView>
  </sheetViews>
  <sheetFormatPr baseColWidth="10" defaultColWidth="9" defaultRowHeight="13"/>
  <cols>
    <col min="1" max="4" width="11.6640625" style="41" customWidth="1"/>
    <col min="5" max="5" width="43" style="42" customWidth="1"/>
    <col min="6" max="6" width="11.1640625" style="42" customWidth="1"/>
    <col min="7" max="8" width="10" style="41" customWidth="1"/>
    <col min="9" max="9" width="10" style="42" customWidth="1"/>
    <col min="10" max="10" width="32" style="42" customWidth="1"/>
    <col min="11" max="11" width="20.1640625" style="42" customWidth="1"/>
    <col min="12" max="12" width="17.83203125" style="42" customWidth="1"/>
    <col min="13" max="14" width="10.6640625" style="42" customWidth="1"/>
    <col min="15" max="15" width="15.83203125" style="42" customWidth="1"/>
    <col min="16" max="19" width="9" style="42"/>
    <col min="20" max="20" width="10.83203125" style="42" customWidth="1"/>
    <col min="21" max="25" width="9" style="42"/>
    <col min="26" max="26" width="9.83203125" style="42" customWidth="1"/>
    <col min="27" max="27" width="10.83203125" style="42" customWidth="1"/>
    <col min="28" max="28" width="10.1640625" style="42" customWidth="1"/>
    <col min="29" max="29" width="10.6640625" style="42" customWidth="1"/>
    <col min="30" max="16384" width="9" style="42"/>
  </cols>
  <sheetData>
    <row r="1" spans="1:29" ht="32" customHeight="1">
      <c r="A1" s="93" t="s">
        <v>0</v>
      </c>
      <c r="B1" s="93" t="s">
        <v>1</v>
      </c>
      <c r="C1" s="93"/>
      <c r="D1" s="93"/>
      <c r="E1" s="91" t="s">
        <v>2</v>
      </c>
      <c r="F1" s="91"/>
      <c r="G1" s="92" t="s">
        <v>3</v>
      </c>
      <c r="H1" s="92"/>
      <c r="I1" s="92"/>
      <c r="J1" s="92"/>
      <c r="K1" s="92"/>
      <c r="L1" s="92" t="s">
        <v>4</v>
      </c>
      <c r="M1" s="92" t="s">
        <v>5</v>
      </c>
      <c r="N1" s="92" t="s">
        <v>6</v>
      </c>
      <c r="O1" s="92" t="s">
        <v>7</v>
      </c>
      <c r="P1" s="92"/>
      <c r="Q1" s="92"/>
      <c r="R1" s="92"/>
      <c r="S1" s="92" t="s">
        <v>8</v>
      </c>
      <c r="T1" s="92"/>
      <c r="U1" s="92"/>
      <c r="V1" s="92"/>
      <c r="W1" s="92"/>
      <c r="X1" s="92"/>
      <c r="Y1" s="92"/>
      <c r="Z1" s="92"/>
      <c r="AA1" s="92"/>
      <c r="AB1" s="92"/>
      <c r="AC1" s="43"/>
    </row>
    <row r="2" spans="1:29" ht="17" customHeight="1">
      <c r="A2" s="93"/>
      <c r="B2" s="93"/>
      <c r="C2" s="93"/>
      <c r="D2" s="93"/>
      <c r="E2" s="93" t="s">
        <v>9</v>
      </c>
      <c r="F2" s="93" t="s">
        <v>10</v>
      </c>
      <c r="G2" s="97" t="s">
        <v>11</v>
      </c>
      <c r="H2" s="97" t="s">
        <v>12</v>
      </c>
      <c r="I2" s="97" t="s">
        <v>13</v>
      </c>
      <c r="J2" s="97" t="s">
        <v>9</v>
      </c>
      <c r="K2" s="97" t="s">
        <v>10</v>
      </c>
      <c r="L2" s="92"/>
      <c r="M2" s="92"/>
      <c r="N2" s="92"/>
    </row>
    <row r="3" spans="1:29" ht="60" customHeight="1">
      <c r="A3" s="93"/>
      <c r="B3" s="93"/>
      <c r="C3" s="93"/>
      <c r="D3" s="93"/>
      <c r="E3" s="93"/>
      <c r="F3" s="93"/>
      <c r="G3" s="97"/>
      <c r="H3" s="97"/>
      <c r="I3" s="97"/>
      <c r="J3" s="97"/>
      <c r="K3" s="97"/>
      <c r="L3" s="92"/>
      <c r="M3" s="92"/>
      <c r="N3" s="92"/>
      <c r="O3" s="57" t="s">
        <v>14</v>
      </c>
      <c r="P3" s="44" t="s">
        <v>15</v>
      </c>
      <c r="Q3" s="44" t="s">
        <v>16</v>
      </c>
      <c r="R3" s="44" t="s">
        <v>17</v>
      </c>
      <c r="S3" s="44" t="s">
        <v>18</v>
      </c>
      <c r="T3" s="44" t="s">
        <v>19</v>
      </c>
      <c r="U3" s="44" t="s">
        <v>20</v>
      </c>
      <c r="V3" s="44" t="s">
        <v>21</v>
      </c>
      <c r="W3" s="44" t="s">
        <v>22</v>
      </c>
      <c r="X3" s="44" t="s">
        <v>23</v>
      </c>
      <c r="Y3" s="44" t="s">
        <v>24</v>
      </c>
      <c r="Z3" s="44" t="s">
        <v>25</v>
      </c>
      <c r="AA3" s="44" t="s">
        <v>26</v>
      </c>
      <c r="AB3" s="44" t="s">
        <v>27</v>
      </c>
    </row>
    <row r="4" spans="1:29" ht="14">
      <c r="A4" s="45">
        <v>37591</v>
      </c>
      <c r="B4" s="46">
        <f>YEAR(A4)</f>
        <v>2002</v>
      </c>
      <c r="C4" s="46">
        <f>MONTH(A4)</f>
        <v>12</v>
      </c>
      <c r="D4" s="45" t="str">
        <f>B4&amp;C4</f>
        <v>200212</v>
      </c>
      <c r="F4" s="47" t="s">
        <v>28</v>
      </c>
      <c r="G4" s="48">
        <f>VLOOKUP(D4,[2]Sheet1!$E$3:$F$321,2,0)</f>
        <v>16.78</v>
      </c>
      <c r="H4" s="49">
        <f>VLOOKUP(D4,[3]Sheet1!$E$3:$F$239,2,0)</f>
        <v>3109</v>
      </c>
      <c r="I4" s="44" t="s">
        <v>29</v>
      </c>
      <c r="J4" s="48"/>
      <c r="K4" s="58" t="s">
        <v>30</v>
      </c>
      <c r="L4" s="44" t="str">
        <f>F4&amp;K4</f>
        <v>宽货币-宽信用</v>
      </c>
      <c r="M4" s="59" t="str">
        <f>_xlfn.IFS(L4="宽货币-宽信用","复苏",L4="紧货币-宽信用","过热",L4="紧货币-紧信用","滞涨",L4="宽货币-紧信用","萧条")</f>
        <v>复苏</v>
      </c>
      <c r="N4" s="59" t="s">
        <v>31</v>
      </c>
      <c r="O4" s="98"/>
      <c r="P4" s="98"/>
      <c r="Q4" s="98"/>
      <c r="R4" s="9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29" ht="14">
      <c r="A5" s="45">
        <v>37622</v>
      </c>
      <c r="B5" s="46">
        <f t="shared" ref="B5:B68" si="0">YEAR(A5)</f>
        <v>2003</v>
      </c>
      <c r="C5" s="46">
        <f t="shared" ref="C5:C68" si="1">MONTH(A5)</f>
        <v>1</v>
      </c>
      <c r="D5" s="45" t="str">
        <f>B5&amp;C5</f>
        <v>20031</v>
      </c>
      <c r="E5" s="50"/>
      <c r="F5" s="47" t="s">
        <v>28</v>
      </c>
      <c r="G5" s="48">
        <f>VLOOKUP(D5,[2]Sheet1!$E$3:$F$321,2,0)</f>
        <v>19.3</v>
      </c>
      <c r="H5" s="49">
        <f>VLOOKUP(D5,[3]Sheet1!$E$3:$F$239,2,0)</f>
        <v>3386</v>
      </c>
      <c r="I5" s="44" t="s">
        <v>29</v>
      </c>
      <c r="J5" s="48"/>
      <c r="K5" s="58" t="s">
        <v>30</v>
      </c>
      <c r="L5" s="44" t="str">
        <f t="shared" ref="L5:L11" si="2">F5&amp;K5</f>
        <v>宽货币-宽信用</v>
      </c>
      <c r="M5" s="59" t="str">
        <f t="shared" ref="M5:M68" si="3">_xlfn.IFS(L5="宽货币-宽信用","复苏",L5="紧货币-宽信用","过热",L5="紧货币-紧信用","滞涨",L5="宽货币-紧信用","萧条")</f>
        <v>复苏</v>
      </c>
      <c r="N5" s="59" t="s">
        <v>31</v>
      </c>
      <c r="O5" s="99"/>
      <c r="P5" s="99"/>
      <c r="Q5" s="99"/>
      <c r="R5" s="99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spans="1:29" ht="14">
      <c r="A6" s="45">
        <v>37653</v>
      </c>
      <c r="B6" s="46">
        <f t="shared" si="0"/>
        <v>2003</v>
      </c>
      <c r="C6" s="46">
        <f t="shared" si="1"/>
        <v>2</v>
      </c>
      <c r="D6" s="45" t="str">
        <f t="shared" ref="D6:D69" si="4">B6&amp;C6</f>
        <v>20032</v>
      </c>
      <c r="E6" s="50"/>
      <c r="F6" s="47" t="s">
        <v>28</v>
      </c>
      <c r="G6" s="48">
        <f>VLOOKUP(D6,[2]Sheet1!$E$3:$F$321,2,0)</f>
        <v>18.100000000000001</v>
      </c>
      <c r="H6" s="49">
        <f>VLOOKUP(D6,[3]Sheet1!$E$3:$F$239,2,0)</f>
        <v>998</v>
      </c>
      <c r="I6" s="44" t="s">
        <v>29</v>
      </c>
      <c r="J6" s="48"/>
      <c r="K6" s="58" t="s">
        <v>30</v>
      </c>
      <c r="L6" s="44" t="str">
        <f t="shared" si="2"/>
        <v>宽货币-宽信用</v>
      </c>
      <c r="M6" s="59" t="str">
        <f t="shared" si="3"/>
        <v>复苏</v>
      </c>
      <c r="N6" s="59" t="s">
        <v>31</v>
      </c>
      <c r="O6" s="99"/>
      <c r="P6" s="99"/>
      <c r="Q6" s="99"/>
      <c r="R6" s="99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spans="1:29" ht="14">
      <c r="A7" s="45">
        <v>37681</v>
      </c>
      <c r="B7" s="46">
        <f t="shared" si="0"/>
        <v>2003</v>
      </c>
      <c r="C7" s="46">
        <f t="shared" si="1"/>
        <v>3</v>
      </c>
      <c r="D7" s="45" t="str">
        <f t="shared" si="4"/>
        <v>20033</v>
      </c>
      <c r="E7" s="50"/>
      <c r="F7" s="47" t="s">
        <v>28</v>
      </c>
      <c r="G7" s="48">
        <f>VLOOKUP(D7,[2]Sheet1!$E$3:$F$321,2,0)</f>
        <v>18.54</v>
      </c>
      <c r="H7" s="49">
        <f>VLOOKUP(D7,[3]Sheet1!$E$3:$F$239,2,0)</f>
        <v>4041</v>
      </c>
      <c r="I7" s="44" t="s">
        <v>29</v>
      </c>
      <c r="J7" s="48"/>
      <c r="K7" s="58" t="s">
        <v>30</v>
      </c>
      <c r="L7" s="44" t="str">
        <f t="shared" si="2"/>
        <v>宽货币-宽信用</v>
      </c>
      <c r="M7" s="59" t="str">
        <f t="shared" si="3"/>
        <v>复苏</v>
      </c>
      <c r="N7" s="59" t="s">
        <v>31</v>
      </c>
      <c r="O7" s="99"/>
      <c r="P7" s="99"/>
      <c r="Q7" s="99"/>
      <c r="R7" s="99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spans="1:29" ht="14">
      <c r="A8" s="45">
        <v>37712</v>
      </c>
      <c r="B8" s="46">
        <f t="shared" si="0"/>
        <v>2003</v>
      </c>
      <c r="C8" s="46">
        <f t="shared" si="1"/>
        <v>4</v>
      </c>
      <c r="D8" s="45" t="str">
        <f t="shared" si="4"/>
        <v>20034</v>
      </c>
      <c r="E8" s="50"/>
      <c r="F8" s="47" t="s">
        <v>28</v>
      </c>
      <c r="G8" s="48">
        <f>VLOOKUP(D8,[2]Sheet1!$E$3:$F$321,2,0)</f>
        <v>19.2</v>
      </c>
      <c r="H8" s="49">
        <f>VLOOKUP(D8,[3]Sheet1!$E$3:$F$239,2,0)</f>
        <v>2622</v>
      </c>
      <c r="I8" s="44" t="s">
        <v>29</v>
      </c>
      <c r="J8" s="48"/>
      <c r="K8" s="58" t="s">
        <v>30</v>
      </c>
      <c r="L8" s="44" t="str">
        <f t="shared" si="2"/>
        <v>宽货币-宽信用</v>
      </c>
      <c r="M8" s="59" t="str">
        <f t="shared" si="3"/>
        <v>复苏</v>
      </c>
      <c r="N8" s="59" t="s">
        <v>31</v>
      </c>
      <c r="O8" s="99"/>
      <c r="P8" s="99"/>
      <c r="Q8" s="99"/>
      <c r="R8" s="99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spans="1:29" ht="14">
      <c r="A9" s="45">
        <v>37742</v>
      </c>
      <c r="B9" s="46">
        <f t="shared" si="0"/>
        <v>2003</v>
      </c>
      <c r="C9" s="46">
        <f t="shared" si="1"/>
        <v>5</v>
      </c>
      <c r="D9" s="45" t="str">
        <f t="shared" si="4"/>
        <v>20035</v>
      </c>
      <c r="E9" s="50"/>
      <c r="F9" s="47" t="s">
        <v>28</v>
      </c>
      <c r="G9" s="48">
        <f>VLOOKUP(D9,[2]Sheet1!$E$3:$F$321,2,0)</f>
        <v>20.2</v>
      </c>
      <c r="H9" s="49">
        <f>VLOOKUP(D9,[3]Sheet1!$E$3:$F$239,2,0)</f>
        <v>2971</v>
      </c>
      <c r="I9" s="44" t="s">
        <v>29</v>
      </c>
      <c r="J9" s="48"/>
      <c r="K9" s="58" t="s">
        <v>30</v>
      </c>
      <c r="L9" s="44" t="str">
        <f t="shared" si="2"/>
        <v>宽货币-宽信用</v>
      </c>
      <c r="M9" s="59" t="str">
        <f t="shared" si="3"/>
        <v>复苏</v>
      </c>
      <c r="N9" s="59" t="s">
        <v>31</v>
      </c>
      <c r="O9" s="99"/>
      <c r="P9" s="99"/>
      <c r="Q9" s="99"/>
      <c r="R9" s="99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spans="1:29" ht="14">
      <c r="A10" s="51">
        <v>37773</v>
      </c>
      <c r="B10" s="46">
        <f t="shared" si="0"/>
        <v>2003</v>
      </c>
      <c r="C10" s="46">
        <f t="shared" si="1"/>
        <v>6</v>
      </c>
      <c r="D10" s="45" t="str">
        <f t="shared" si="4"/>
        <v>20036</v>
      </c>
      <c r="E10" s="50" t="s">
        <v>32</v>
      </c>
      <c r="F10" s="47" t="s">
        <v>28</v>
      </c>
      <c r="G10" s="48">
        <f>VLOOKUP(D10,[2]Sheet1!$E$3:$F$321,2,0)</f>
        <v>20.83</v>
      </c>
      <c r="H10" s="49">
        <f>VLOOKUP(D10,[3]Sheet1!$E$3:$F$239,2,0)</f>
        <v>5842</v>
      </c>
      <c r="I10" s="44" t="s">
        <v>29</v>
      </c>
      <c r="J10" s="48"/>
      <c r="K10" s="58" t="s">
        <v>30</v>
      </c>
      <c r="L10" s="44" t="str">
        <f t="shared" si="2"/>
        <v>宽货币-宽信用</v>
      </c>
      <c r="M10" s="59" t="str">
        <f t="shared" si="3"/>
        <v>复苏</v>
      </c>
      <c r="N10" s="59" t="s">
        <v>31</v>
      </c>
      <c r="O10" s="100"/>
      <c r="P10" s="100"/>
      <c r="Q10" s="100"/>
      <c r="R10" s="100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 spans="1:29" ht="15">
      <c r="A11" s="45">
        <v>37803</v>
      </c>
      <c r="B11" s="46">
        <f t="shared" si="0"/>
        <v>2003</v>
      </c>
      <c r="C11" s="46">
        <f t="shared" si="1"/>
        <v>7</v>
      </c>
      <c r="D11" s="45" t="str">
        <f t="shared" si="4"/>
        <v>20037</v>
      </c>
      <c r="E11" s="52" t="s">
        <v>33</v>
      </c>
      <c r="F11" s="53" t="s">
        <v>34</v>
      </c>
      <c r="G11" s="48">
        <f>VLOOKUP(D11,[2]Sheet1!$E$3:$F$321,2,0)</f>
        <v>20.7</v>
      </c>
      <c r="H11" s="49">
        <f>VLOOKUP(D11,[3]Sheet1!$E$3:$F$239,2,0)</f>
        <v>1344</v>
      </c>
      <c r="I11" s="44" t="s">
        <v>29</v>
      </c>
      <c r="J11" s="48"/>
      <c r="K11" s="58" t="s">
        <v>30</v>
      </c>
      <c r="L11" s="44" t="str">
        <f t="shared" si="2"/>
        <v>紧货币-宽信用</v>
      </c>
      <c r="M11" s="60" t="str">
        <f t="shared" si="3"/>
        <v>过热</v>
      </c>
      <c r="N11" s="60" t="s">
        <v>35</v>
      </c>
      <c r="O11" s="98"/>
      <c r="P11" s="98"/>
      <c r="Q11" s="98"/>
      <c r="R11" s="9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spans="1:29" ht="28">
      <c r="A12" s="45">
        <v>37834</v>
      </c>
      <c r="B12" s="46">
        <f t="shared" si="0"/>
        <v>2003</v>
      </c>
      <c r="C12" s="46">
        <f t="shared" si="1"/>
        <v>8</v>
      </c>
      <c r="D12" s="45" t="str">
        <f t="shared" si="4"/>
        <v>20038</v>
      </c>
      <c r="E12" s="50"/>
      <c r="F12" s="53" t="s">
        <v>34</v>
      </c>
      <c r="G12" s="48">
        <f>VLOOKUP(D12,[2]Sheet1!$E$3:$F$321,2,0)</f>
        <v>21.55</v>
      </c>
      <c r="H12" s="49">
        <f>VLOOKUP(D12,[3]Sheet1!$E$3:$F$239,2,0)</f>
        <v>3321</v>
      </c>
      <c r="I12" s="44" t="s">
        <v>29</v>
      </c>
      <c r="J12" s="61" t="s">
        <v>36</v>
      </c>
      <c r="K12" s="58" t="s">
        <v>30</v>
      </c>
      <c r="L12" s="44" t="str">
        <f t="shared" ref="L12:L75" si="5">F12&amp;K12</f>
        <v>紧货币-宽信用</v>
      </c>
      <c r="M12" s="60" t="str">
        <f t="shared" si="3"/>
        <v>过热</v>
      </c>
      <c r="N12" s="60" t="s">
        <v>35</v>
      </c>
      <c r="O12" s="100"/>
      <c r="P12" s="100"/>
      <c r="Q12" s="100"/>
      <c r="R12" s="100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 spans="1:29" ht="14">
      <c r="A13" s="45">
        <v>37865</v>
      </c>
      <c r="B13" s="46">
        <f t="shared" si="0"/>
        <v>2003</v>
      </c>
      <c r="C13" s="46">
        <f t="shared" si="1"/>
        <v>9</v>
      </c>
      <c r="D13" s="45" t="str">
        <f t="shared" si="4"/>
        <v>20039</v>
      </c>
      <c r="E13" s="50"/>
      <c r="F13" s="53" t="s">
        <v>34</v>
      </c>
      <c r="G13" s="48">
        <f>VLOOKUP(D13,[2]Sheet1!$E$3:$F$321,2,0)</f>
        <v>20.67</v>
      </c>
      <c r="H13" s="49">
        <f>VLOOKUP(D13,[3]Sheet1!$E$3:$F$239,2,0)</f>
        <v>4040</v>
      </c>
      <c r="I13" s="44" t="s">
        <v>29</v>
      </c>
      <c r="J13" s="48"/>
      <c r="K13" s="62" t="s">
        <v>37</v>
      </c>
      <c r="L13" s="44" t="str">
        <f t="shared" si="5"/>
        <v>紧货币-紧信用</v>
      </c>
      <c r="M13" s="60" t="str">
        <f t="shared" si="3"/>
        <v>滞涨</v>
      </c>
      <c r="N13" s="60" t="s">
        <v>38</v>
      </c>
      <c r="O13" s="97"/>
      <c r="P13" s="97"/>
      <c r="Q13" s="97"/>
      <c r="R13" s="97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 spans="1:29" ht="14">
      <c r="A14" s="45">
        <v>37895</v>
      </c>
      <c r="B14" s="46">
        <f t="shared" si="0"/>
        <v>2003</v>
      </c>
      <c r="C14" s="46">
        <f t="shared" si="1"/>
        <v>10</v>
      </c>
      <c r="D14" s="45" t="str">
        <f t="shared" si="4"/>
        <v>200310</v>
      </c>
      <c r="E14" s="50"/>
      <c r="F14" s="53" t="s">
        <v>34</v>
      </c>
      <c r="G14" s="48">
        <f>VLOOKUP(D14,[2]Sheet1!$E$3:$F$321,2,0)</f>
        <v>20.97</v>
      </c>
      <c r="H14" s="49">
        <f>VLOOKUP(D14,[3]Sheet1!$E$3:$F$239,2,0)</f>
        <v>1218</v>
      </c>
      <c r="I14" s="44" t="s">
        <v>29</v>
      </c>
      <c r="J14" s="48"/>
      <c r="K14" s="62" t="s">
        <v>37</v>
      </c>
      <c r="L14" s="44" t="str">
        <f t="shared" si="5"/>
        <v>紧货币-紧信用</v>
      </c>
      <c r="M14" s="60" t="str">
        <f t="shared" si="3"/>
        <v>滞涨</v>
      </c>
      <c r="N14" s="60" t="s">
        <v>38</v>
      </c>
      <c r="O14" s="97"/>
      <c r="P14" s="97"/>
      <c r="Q14" s="97"/>
      <c r="R14" s="97"/>
      <c r="S14" s="48"/>
      <c r="T14" s="48"/>
      <c r="U14" s="48"/>
      <c r="V14" s="48"/>
      <c r="W14" s="48"/>
      <c r="X14" s="48"/>
      <c r="Y14" s="48"/>
      <c r="Z14" s="48"/>
      <c r="AA14" s="48"/>
      <c r="AB14" s="48"/>
    </row>
    <row r="15" spans="1:29" ht="14">
      <c r="A15" s="45">
        <v>37926</v>
      </c>
      <c r="B15" s="46">
        <f t="shared" si="0"/>
        <v>2003</v>
      </c>
      <c r="C15" s="46">
        <f t="shared" si="1"/>
        <v>11</v>
      </c>
      <c r="D15" s="45" t="str">
        <f t="shared" si="4"/>
        <v>200311</v>
      </c>
      <c r="E15" s="50"/>
      <c r="F15" s="53" t="s">
        <v>34</v>
      </c>
      <c r="G15" s="48">
        <f>VLOOKUP(D15,[2]Sheet1!$E$3:$F$321,2,0)</f>
        <v>20.37</v>
      </c>
      <c r="H15" s="49">
        <f>VLOOKUP(D15,[3]Sheet1!$E$3:$F$239,2,0)</f>
        <v>1832</v>
      </c>
      <c r="I15" s="44" t="s">
        <v>29</v>
      </c>
      <c r="J15" s="48"/>
      <c r="K15" s="62" t="s">
        <v>37</v>
      </c>
      <c r="L15" s="44" t="str">
        <f t="shared" si="5"/>
        <v>紧货币-紧信用</v>
      </c>
      <c r="M15" s="60" t="str">
        <f t="shared" si="3"/>
        <v>滞涨</v>
      </c>
      <c r="N15" s="60" t="s">
        <v>38</v>
      </c>
      <c r="O15" s="97"/>
      <c r="P15" s="97"/>
      <c r="Q15" s="97"/>
      <c r="R15" s="97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29" ht="14">
      <c r="A16" s="45">
        <v>37956</v>
      </c>
      <c r="B16" s="46">
        <f t="shared" si="0"/>
        <v>2003</v>
      </c>
      <c r="C16" s="46">
        <f t="shared" si="1"/>
        <v>12</v>
      </c>
      <c r="D16" s="45" t="str">
        <f t="shared" si="4"/>
        <v>200312</v>
      </c>
      <c r="E16" s="50"/>
      <c r="F16" s="53" t="s">
        <v>34</v>
      </c>
      <c r="G16" s="48">
        <f>VLOOKUP(D16,[2]Sheet1!$E$3:$F$321,2,0)</f>
        <v>19.600000000000001</v>
      </c>
      <c r="H16" s="49">
        <f>VLOOKUP(D16,[3]Sheet1!$E$3:$F$239,2,0)</f>
        <v>2498</v>
      </c>
      <c r="I16" s="44">
        <v>22.3</v>
      </c>
      <c r="J16" s="48"/>
      <c r="K16" s="62" t="s">
        <v>37</v>
      </c>
      <c r="L16" s="44" t="str">
        <f t="shared" si="5"/>
        <v>紧货币-紧信用</v>
      </c>
      <c r="M16" s="60" t="str">
        <f t="shared" si="3"/>
        <v>滞涨</v>
      </c>
      <c r="N16" s="60" t="s">
        <v>38</v>
      </c>
      <c r="O16" s="97"/>
      <c r="P16" s="97"/>
      <c r="Q16" s="97"/>
      <c r="R16" s="97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18" ht="14">
      <c r="A17" s="45">
        <v>37987</v>
      </c>
      <c r="B17" s="46">
        <f t="shared" si="0"/>
        <v>2004</v>
      </c>
      <c r="C17" s="46">
        <f t="shared" si="1"/>
        <v>1</v>
      </c>
      <c r="D17" s="45" t="str">
        <f t="shared" si="4"/>
        <v>20041</v>
      </c>
      <c r="E17" s="50"/>
      <c r="F17" s="53" t="s">
        <v>34</v>
      </c>
      <c r="G17" s="48">
        <f>VLOOKUP(D17,[2]Sheet1!$E$3:$F$321,2,0)</f>
        <v>18.100000000000001</v>
      </c>
      <c r="H17" s="49">
        <f>VLOOKUP(D17,[3]Sheet1!$E$3:$F$239,2,0)</f>
        <v>2114</v>
      </c>
      <c r="I17" s="44" t="s">
        <v>29</v>
      </c>
      <c r="J17" s="48"/>
      <c r="K17" s="62" t="s">
        <v>37</v>
      </c>
      <c r="L17" s="44" t="str">
        <f t="shared" si="5"/>
        <v>紧货币-紧信用</v>
      </c>
      <c r="M17" s="60" t="str">
        <f t="shared" si="3"/>
        <v>滞涨</v>
      </c>
      <c r="N17" s="60" t="s">
        <v>38</v>
      </c>
      <c r="O17" s="97"/>
      <c r="P17" s="97"/>
      <c r="Q17" s="97"/>
      <c r="R17" s="97"/>
    </row>
    <row r="18" spans="1:18" ht="14">
      <c r="A18" s="45">
        <v>38018</v>
      </c>
      <c r="B18" s="46">
        <f t="shared" si="0"/>
        <v>2004</v>
      </c>
      <c r="C18" s="46">
        <f t="shared" si="1"/>
        <v>2</v>
      </c>
      <c r="D18" s="45" t="str">
        <f t="shared" si="4"/>
        <v>20042</v>
      </c>
      <c r="E18" s="50"/>
      <c r="F18" s="53" t="s">
        <v>34</v>
      </c>
      <c r="G18" s="48">
        <f>VLOOKUP(D18,[2]Sheet1!$E$3:$F$321,2,0)</f>
        <v>19.399999999999999</v>
      </c>
      <c r="H18" s="49">
        <f>VLOOKUP(D18,[3]Sheet1!$E$3:$F$239,2,0)</f>
        <v>438</v>
      </c>
      <c r="I18" s="44" t="s">
        <v>29</v>
      </c>
      <c r="J18" s="48"/>
      <c r="K18" s="62" t="s">
        <v>37</v>
      </c>
      <c r="L18" s="44" t="str">
        <f t="shared" si="5"/>
        <v>紧货币-紧信用</v>
      </c>
      <c r="M18" s="60" t="str">
        <f t="shared" si="3"/>
        <v>滞涨</v>
      </c>
      <c r="N18" s="60" t="s">
        <v>38</v>
      </c>
      <c r="O18" s="97"/>
      <c r="P18" s="97"/>
      <c r="Q18" s="97"/>
      <c r="R18" s="97"/>
    </row>
    <row r="19" spans="1:18" ht="14">
      <c r="A19" s="45">
        <v>38047</v>
      </c>
      <c r="B19" s="46">
        <f t="shared" si="0"/>
        <v>2004</v>
      </c>
      <c r="C19" s="46">
        <f t="shared" si="1"/>
        <v>3</v>
      </c>
      <c r="D19" s="45" t="str">
        <f t="shared" si="4"/>
        <v>20043</v>
      </c>
      <c r="E19" s="50"/>
      <c r="F19" s="53" t="s">
        <v>34</v>
      </c>
      <c r="G19" s="48">
        <f>VLOOKUP(D19,[2]Sheet1!$E$3:$F$321,2,0)</f>
        <v>19.100000000000001</v>
      </c>
      <c r="H19" s="49">
        <f>VLOOKUP(D19,[3]Sheet1!$E$3:$F$239,2,0)</f>
        <v>6557</v>
      </c>
      <c r="I19" s="44" t="s">
        <v>29</v>
      </c>
      <c r="J19" s="48"/>
      <c r="K19" s="62" t="s">
        <v>37</v>
      </c>
      <c r="L19" s="44" t="str">
        <f t="shared" si="5"/>
        <v>紧货币-紧信用</v>
      </c>
      <c r="M19" s="60" t="str">
        <f t="shared" si="3"/>
        <v>滞涨</v>
      </c>
      <c r="N19" s="60" t="s">
        <v>38</v>
      </c>
      <c r="O19" s="97"/>
      <c r="P19" s="97"/>
      <c r="Q19" s="97"/>
      <c r="R19" s="97"/>
    </row>
    <row r="20" spans="1:18" ht="14">
      <c r="A20" s="45">
        <v>38078</v>
      </c>
      <c r="B20" s="46">
        <f t="shared" si="0"/>
        <v>2004</v>
      </c>
      <c r="C20" s="46">
        <f t="shared" si="1"/>
        <v>4</v>
      </c>
      <c r="D20" s="45" t="str">
        <f t="shared" si="4"/>
        <v>20044</v>
      </c>
      <c r="E20" s="50"/>
      <c r="F20" s="53" t="s">
        <v>34</v>
      </c>
      <c r="G20" s="48">
        <f>VLOOKUP(D20,[2]Sheet1!$E$3:$F$321,2,0)</f>
        <v>19.100000000000001</v>
      </c>
      <c r="H20" s="49">
        <f>VLOOKUP(D20,[3]Sheet1!$E$3:$F$239,2,0)</f>
        <v>2731</v>
      </c>
      <c r="I20" s="44" t="s">
        <v>29</v>
      </c>
      <c r="J20" s="48"/>
      <c r="K20" s="62" t="s">
        <v>37</v>
      </c>
      <c r="L20" s="44" t="str">
        <f t="shared" si="5"/>
        <v>紧货币-紧信用</v>
      </c>
      <c r="M20" s="60" t="str">
        <f t="shared" si="3"/>
        <v>滞涨</v>
      </c>
      <c r="N20" s="60" t="s">
        <v>38</v>
      </c>
      <c r="O20" s="97"/>
      <c r="P20" s="97"/>
      <c r="Q20" s="97"/>
      <c r="R20" s="97"/>
    </row>
    <row r="21" spans="1:18" ht="14">
      <c r="A21" s="45">
        <v>38108</v>
      </c>
      <c r="B21" s="46">
        <f t="shared" si="0"/>
        <v>2004</v>
      </c>
      <c r="C21" s="46">
        <f t="shared" si="1"/>
        <v>5</v>
      </c>
      <c r="D21" s="45" t="str">
        <f t="shared" si="4"/>
        <v>20045</v>
      </c>
      <c r="E21" s="50"/>
      <c r="F21" s="53" t="s">
        <v>34</v>
      </c>
      <c r="G21" s="48">
        <f>VLOOKUP(D21,[2]Sheet1!$E$3:$F$321,2,0)</f>
        <v>17.5</v>
      </c>
      <c r="H21" s="49">
        <f>VLOOKUP(D21,[3]Sheet1!$E$3:$F$239,2,0)</f>
        <v>2443</v>
      </c>
      <c r="I21" s="44" t="s">
        <v>29</v>
      </c>
      <c r="J21" s="48"/>
      <c r="K21" s="62" t="s">
        <v>37</v>
      </c>
      <c r="L21" s="44" t="str">
        <f t="shared" si="5"/>
        <v>紧货币-紧信用</v>
      </c>
      <c r="M21" s="60" t="str">
        <f t="shared" si="3"/>
        <v>滞涨</v>
      </c>
      <c r="N21" s="60" t="s">
        <v>38</v>
      </c>
      <c r="O21" s="97"/>
      <c r="P21" s="97"/>
      <c r="Q21" s="97"/>
      <c r="R21" s="97"/>
    </row>
    <row r="22" spans="1:18" ht="14">
      <c r="A22" s="45">
        <v>38139</v>
      </c>
      <c r="B22" s="46">
        <f t="shared" si="0"/>
        <v>2004</v>
      </c>
      <c r="C22" s="46">
        <f t="shared" si="1"/>
        <v>6</v>
      </c>
      <c r="D22" s="45" t="str">
        <f t="shared" si="4"/>
        <v>20046</v>
      </c>
      <c r="E22" s="50"/>
      <c r="F22" s="53" t="s">
        <v>34</v>
      </c>
      <c r="G22" s="48">
        <f>VLOOKUP(D22,[2]Sheet1!$E$3:$F$321,2,0)</f>
        <v>16.2</v>
      </c>
      <c r="H22" s="49">
        <f>VLOOKUP(D22,[3]Sheet1!$E$3:$F$239,2,0)</f>
        <v>3229</v>
      </c>
      <c r="I22" s="44" t="s">
        <v>29</v>
      </c>
      <c r="J22" s="48"/>
      <c r="K22" s="62" t="s">
        <v>37</v>
      </c>
      <c r="L22" s="44" t="str">
        <f t="shared" si="5"/>
        <v>紧货币-紧信用</v>
      </c>
      <c r="M22" s="60" t="str">
        <f t="shared" si="3"/>
        <v>滞涨</v>
      </c>
      <c r="N22" s="60" t="s">
        <v>38</v>
      </c>
      <c r="O22" s="97"/>
      <c r="P22" s="97"/>
      <c r="Q22" s="97"/>
      <c r="R22" s="97"/>
    </row>
    <row r="23" spans="1:18" ht="14">
      <c r="A23" s="45">
        <v>38169</v>
      </c>
      <c r="B23" s="46">
        <f t="shared" si="0"/>
        <v>2004</v>
      </c>
      <c r="C23" s="46">
        <f t="shared" si="1"/>
        <v>7</v>
      </c>
      <c r="D23" s="45" t="str">
        <f t="shared" si="4"/>
        <v>20047</v>
      </c>
      <c r="E23" s="50"/>
      <c r="F23" s="53" t="s">
        <v>34</v>
      </c>
      <c r="G23" s="48">
        <f>VLOOKUP(D23,[2]Sheet1!$E$3:$F$321,2,0)</f>
        <v>15.3</v>
      </c>
      <c r="H23" s="49">
        <f>VLOOKUP(D23,[3]Sheet1!$E$3:$F$239,2,0)</f>
        <v>590</v>
      </c>
      <c r="I23" s="44" t="s">
        <v>29</v>
      </c>
      <c r="J23" s="48"/>
      <c r="K23" s="62" t="s">
        <v>37</v>
      </c>
      <c r="L23" s="44" t="str">
        <f t="shared" si="5"/>
        <v>紧货币-紧信用</v>
      </c>
      <c r="M23" s="60" t="str">
        <f t="shared" si="3"/>
        <v>滞涨</v>
      </c>
      <c r="N23" s="60" t="s">
        <v>38</v>
      </c>
      <c r="O23" s="97"/>
      <c r="P23" s="97"/>
      <c r="Q23" s="97"/>
      <c r="R23" s="97"/>
    </row>
    <row r="24" spans="1:18" ht="14">
      <c r="A24" s="45">
        <v>38200</v>
      </c>
      <c r="B24" s="46">
        <f t="shared" si="0"/>
        <v>2004</v>
      </c>
      <c r="C24" s="46">
        <f t="shared" si="1"/>
        <v>8</v>
      </c>
      <c r="D24" s="45" t="str">
        <f t="shared" si="4"/>
        <v>20048</v>
      </c>
      <c r="E24" s="50"/>
      <c r="F24" s="53" t="s">
        <v>34</v>
      </c>
      <c r="G24" s="48">
        <f>VLOOKUP(D24,[2]Sheet1!$E$3:$F$321,2,0)</f>
        <v>13.63</v>
      </c>
      <c r="H24" s="49">
        <f>VLOOKUP(D24,[3]Sheet1!$E$3:$F$239,2,0)</f>
        <v>1501</v>
      </c>
      <c r="I24" s="44" t="s">
        <v>29</v>
      </c>
      <c r="J24" s="48"/>
      <c r="K24" s="62" t="s">
        <v>37</v>
      </c>
      <c r="L24" s="44" t="str">
        <f t="shared" si="5"/>
        <v>紧货币-紧信用</v>
      </c>
      <c r="M24" s="60" t="str">
        <f t="shared" si="3"/>
        <v>滞涨</v>
      </c>
      <c r="N24" s="60" t="s">
        <v>38</v>
      </c>
      <c r="O24" s="97"/>
      <c r="P24" s="97"/>
      <c r="Q24" s="97"/>
      <c r="R24" s="97"/>
    </row>
    <row r="25" spans="1:18" ht="14">
      <c r="A25" s="45">
        <v>38231</v>
      </c>
      <c r="B25" s="46">
        <f t="shared" si="0"/>
        <v>2004</v>
      </c>
      <c r="C25" s="46">
        <f t="shared" si="1"/>
        <v>9</v>
      </c>
      <c r="D25" s="45" t="str">
        <f t="shared" si="4"/>
        <v>20049</v>
      </c>
      <c r="E25" s="50"/>
      <c r="F25" s="53" t="s">
        <v>34</v>
      </c>
      <c r="G25" s="48">
        <f>VLOOKUP(D25,[2]Sheet1!$E$3:$F$321,2,0)</f>
        <v>13.94</v>
      </c>
      <c r="H25" s="49">
        <f>VLOOKUP(D25,[3]Sheet1!$E$3:$F$239,2,0)</f>
        <v>2981</v>
      </c>
      <c r="I25" s="44" t="s">
        <v>29</v>
      </c>
      <c r="J25" s="48"/>
      <c r="K25" s="62" t="s">
        <v>37</v>
      </c>
      <c r="L25" s="44" t="str">
        <f t="shared" si="5"/>
        <v>紧货币-紧信用</v>
      </c>
      <c r="M25" s="60" t="str">
        <f t="shared" si="3"/>
        <v>滞涨</v>
      </c>
      <c r="N25" s="60" t="s">
        <v>38</v>
      </c>
      <c r="O25" s="97"/>
      <c r="P25" s="97"/>
      <c r="Q25" s="97"/>
      <c r="R25" s="97"/>
    </row>
    <row r="26" spans="1:18" ht="14">
      <c r="A26" s="45">
        <v>38261</v>
      </c>
      <c r="B26" s="46">
        <f t="shared" si="0"/>
        <v>2004</v>
      </c>
      <c r="C26" s="46">
        <f t="shared" si="1"/>
        <v>10</v>
      </c>
      <c r="D26" s="45" t="str">
        <f t="shared" si="4"/>
        <v>200410</v>
      </c>
      <c r="E26" s="54"/>
      <c r="F26" s="53" t="s">
        <v>34</v>
      </c>
      <c r="G26" s="48">
        <f>VLOOKUP(D26,[2]Sheet1!$E$3:$F$321,2,0)</f>
        <v>13.45</v>
      </c>
      <c r="H26" s="49">
        <f>VLOOKUP(D26,[3]Sheet1!$E$3:$F$239,2,0)</f>
        <v>483</v>
      </c>
      <c r="I26" s="44" t="s">
        <v>29</v>
      </c>
      <c r="J26" s="48"/>
      <c r="K26" s="62" t="s">
        <v>37</v>
      </c>
      <c r="L26" s="44" t="str">
        <f t="shared" si="5"/>
        <v>紧货币-紧信用</v>
      </c>
      <c r="M26" s="60" t="str">
        <f t="shared" si="3"/>
        <v>滞涨</v>
      </c>
      <c r="N26" s="60" t="s">
        <v>38</v>
      </c>
      <c r="O26" s="97"/>
      <c r="P26" s="97"/>
      <c r="Q26" s="97"/>
      <c r="R26" s="97"/>
    </row>
    <row r="27" spans="1:18" ht="56">
      <c r="A27" s="51">
        <v>38292</v>
      </c>
      <c r="B27" s="46">
        <f t="shared" si="0"/>
        <v>2004</v>
      </c>
      <c r="C27" s="46">
        <f t="shared" si="1"/>
        <v>11</v>
      </c>
      <c r="D27" s="45" t="str">
        <f t="shared" si="4"/>
        <v>200411</v>
      </c>
      <c r="E27" s="55" t="s">
        <v>39</v>
      </c>
      <c r="F27" s="53" t="s">
        <v>34</v>
      </c>
      <c r="G27" s="48">
        <f>VLOOKUP(D27,[2]Sheet1!$E$3:$F$321,2,0)</f>
        <v>14</v>
      </c>
      <c r="H27" s="49">
        <f>VLOOKUP(D27,[3]Sheet1!$E$3:$F$239,2,0)</f>
        <v>1977</v>
      </c>
      <c r="I27" s="44" t="s">
        <v>29</v>
      </c>
      <c r="J27" s="48"/>
      <c r="K27" s="62" t="s">
        <v>37</v>
      </c>
      <c r="L27" s="44" t="str">
        <f t="shared" si="5"/>
        <v>紧货币-紧信用</v>
      </c>
      <c r="M27" s="60" t="str">
        <f t="shared" si="3"/>
        <v>滞涨</v>
      </c>
      <c r="N27" s="60" t="s">
        <v>38</v>
      </c>
      <c r="O27" s="97"/>
      <c r="P27" s="97"/>
      <c r="Q27" s="97"/>
      <c r="R27" s="97"/>
    </row>
    <row r="28" spans="1:18" ht="14">
      <c r="A28" s="45">
        <v>38322</v>
      </c>
      <c r="B28" s="46">
        <f t="shared" si="0"/>
        <v>2004</v>
      </c>
      <c r="C28" s="46">
        <f t="shared" si="1"/>
        <v>12</v>
      </c>
      <c r="D28" s="45" t="str">
        <f t="shared" si="4"/>
        <v>200412</v>
      </c>
      <c r="E28" s="56"/>
      <c r="F28" s="47" t="s">
        <v>28</v>
      </c>
      <c r="G28" s="48">
        <f>VLOOKUP(D28,[2]Sheet1!$E$3:$F$321,2,0)</f>
        <v>14.6</v>
      </c>
      <c r="H28" s="49">
        <f>VLOOKUP(D28,[3]Sheet1!$E$3:$F$239,2,0)</f>
        <v>3586</v>
      </c>
      <c r="I28" s="44">
        <v>14.9</v>
      </c>
      <c r="J28" s="48"/>
      <c r="K28" s="62" t="s">
        <v>37</v>
      </c>
      <c r="L28" s="44" t="str">
        <f t="shared" si="5"/>
        <v>宽货币-紧信用</v>
      </c>
      <c r="M28" s="63" t="str">
        <f t="shared" si="3"/>
        <v>萧条</v>
      </c>
      <c r="N28" s="63" t="s">
        <v>40</v>
      </c>
      <c r="O28" s="97"/>
      <c r="P28" s="97"/>
      <c r="Q28" s="97"/>
      <c r="R28" s="97"/>
    </row>
    <row r="29" spans="1:18" ht="14">
      <c r="A29" s="45">
        <v>38353</v>
      </c>
      <c r="B29" s="46">
        <f t="shared" si="0"/>
        <v>2005</v>
      </c>
      <c r="C29" s="46">
        <f t="shared" si="1"/>
        <v>1</v>
      </c>
      <c r="D29" s="45" t="str">
        <f t="shared" si="4"/>
        <v>20051</v>
      </c>
      <c r="E29" s="50"/>
      <c r="F29" s="47" t="s">
        <v>28</v>
      </c>
      <c r="G29" s="48">
        <f>VLOOKUP(D29,[2]Sheet1!$E$3:$F$321,2,0)</f>
        <v>14.13</v>
      </c>
      <c r="H29" s="49">
        <f>VLOOKUP(D29,[3]Sheet1!$E$3:$F$239,2,0)</f>
        <v>3620</v>
      </c>
      <c r="I29" s="44" t="s">
        <v>29</v>
      </c>
      <c r="J29" s="48"/>
      <c r="K29" s="62" t="s">
        <v>37</v>
      </c>
      <c r="L29" s="44" t="str">
        <f t="shared" si="5"/>
        <v>宽货币-紧信用</v>
      </c>
      <c r="M29" s="63" t="str">
        <f t="shared" si="3"/>
        <v>萧条</v>
      </c>
      <c r="N29" s="63" t="s">
        <v>40</v>
      </c>
      <c r="O29" s="97"/>
      <c r="P29" s="97"/>
      <c r="Q29" s="97"/>
      <c r="R29" s="97"/>
    </row>
    <row r="30" spans="1:18" ht="14">
      <c r="A30" s="45">
        <v>38384</v>
      </c>
      <c r="B30" s="46">
        <f t="shared" si="0"/>
        <v>2005</v>
      </c>
      <c r="C30" s="46">
        <f t="shared" si="1"/>
        <v>2</v>
      </c>
      <c r="D30" s="45" t="str">
        <f t="shared" si="4"/>
        <v>20052</v>
      </c>
      <c r="E30" s="50"/>
      <c r="F30" s="47" t="s">
        <v>28</v>
      </c>
      <c r="G30" s="48">
        <f>VLOOKUP(D30,[2]Sheet1!$E$3:$F$321,2,0)</f>
        <v>13.9</v>
      </c>
      <c r="H30" s="49">
        <f>VLOOKUP(D30,[3]Sheet1!$E$3:$F$239,2,0)</f>
        <v>824</v>
      </c>
      <c r="I30" s="44" t="s">
        <v>29</v>
      </c>
      <c r="J30" s="48"/>
      <c r="K30" s="62" t="s">
        <v>37</v>
      </c>
      <c r="L30" s="44" t="str">
        <f t="shared" si="5"/>
        <v>宽货币-紧信用</v>
      </c>
      <c r="M30" s="63" t="str">
        <f t="shared" si="3"/>
        <v>萧条</v>
      </c>
      <c r="N30" s="63" t="s">
        <v>40</v>
      </c>
      <c r="O30" s="97"/>
      <c r="P30" s="97"/>
      <c r="Q30" s="97"/>
      <c r="R30" s="97"/>
    </row>
    <row r="31" spans="1:18" ht="15">
      <c r="A31" s="45">
        <v>38412</v>
      </c>
      <c r="B31" s="46">
        <f t="shared" si="0"/>
        <v>2005</v>
      </c>
      <c r="C31" s="46">
        <f t="shared" si="1"/>
        <v>3</v>
      </c>
      <c r="D31" s="45" t="str">
        <f t="shared" si="4"/>
        <v>20053</v>
      </c>
      <c r="E31" s="52" t="s">
        <v>41</v>
      </c>
      <c r="F31" s="47" t="s">
        <v>28</v>
      </c>
      <c r="G31" s="48">
        <f>VLOOKUP(D31,[2]Sheet1!$E$3:$F$321,2,0)</f>
        <v>14</v>
      </c>
      <c r="H31" s="49">
        <f>VLOOKUP(D31,[3]Sheet1!$E$3:$F$239,2,0)</f>
        <v>4189</v>
      </c>
      <c r="I31" s="44" t="s">
        <v>29</v>
      </c>
      <c r="J31" s="48"/>
      <c r="K31" s="62" t="s">
        <v>37</v>
      </c>
      <c r="L31" s="44" t="str">
        <f t="shared" si="5"/>
        <v>宽货币-紧信用</v>
      </c>
      <c r="M31" s="63" t="str">
        <f t="shared" si="3"/>
        <v>萧条</v>
      </c>
      <c r="N31" s="63" t="s">
        <v>40</v>
      </c>
      <c r="O31" s="97"/>
      <c r="P31" s="97"/>
      <c r="Q31" s="97"/>
      <c r="R31" s="97"/>
    </row>
    <row r="32" spans="1:18" ht="14">
      <c r="A32" s="45">
        <v>38443</v>
      </c>
      <c r="B32" s="46">
        <f t="shared" si="0"/>
        <v>2005</v>
      </c>
      <c r="C32" s="46">
        <f t="shared" si="1"/>
        <v>4</v>
      </c>
      <c r="D32" s="45" t="str">
        <f t="shared" si="4"/>
        <v>20054</v>
      </c>
      <c r="E32" s="50"/>
      <c r="F32" s="47" t="s">
        <v>28</v>
      </c>
      <c r="G32" s="48">
        <f>VLOOKUP(D32,[2]Sheet1!$E$3:$F$321,2,0)</f>
        <v>14.1</v>
      </c>
      <c r="H32" s="49">
        <f>VLOOKUP(D32,[3]Sheet1!$E$3:$F$239,2,0)</f>
        <v>1999</v>
      </c>
      <c r="I32" s="44" t="s">
        <v>29</v>
      </c>
      <c r="J32" s="48"/>
      <c r="K32" s="62" t="s">
        <v>37</v>
      </c>
      <c r="L32" s="44" t="str">
        <f t="shared" si="5"/>
        <v>宽货币-紧信用</v>
      </c>
      <c r="M32" s="63" t="str">
        <f t="shared" si="3"/>
        <v>萧条</v>
      </c>
      <c r="N32" s="63" t="s">
        <v>40</v>
      </c>
      <c r="O32" s="97"/>
      <c r="P32" s="97"/>
      <c r="Q32" s="97"/>
      <c r="R32" s="97"/>
    </row>
    <row r="33" spans="1:18" ht="14">
      <c r="A33" s="45">
        <v>38473</v>
      </c>
      <c r="B33" s="46">
        <f t="shared" si="0"/>
        <v>2005</v>
      </c>
      <c r="C33" s="46">
        <f t="shared" si="1"/>
        <v>5</v>
      </c>
      <c r="D33" s="45" t="str">
        <f t="shared" si="4"/>
        <v>20055</v>
      </c>
      <c r="E33" s="50"/>
      <c r="F33" s="47" t="s">
        <v>28</v>
      </c>
      <c r="G33" s="48">
        <f>VLOOKUP(D33,[2]Sheet1!$E$3:$F$321,2,0)</f>
        <v>14.6</v>
      </c>
      <c r="H33" s="49">
        <f>VLOOKUP(D33,[3]Sheet1!$E$3:$F$239,2,0)</f>
        <v>1968</v>
      </c>
      <c r="I33" s="44" t="s">
        <v>29</v>
      </c>
      <c r="J33" s="48"/>
      <c r="K33" s="62" t="s">
        <v>37</v>
      </c>
      <c r="L33" s="44" t="str">
        <f t="shared" si="5"/>
        <v>宽货币-紧信用</v>
      </c>
      <c r="M33" s="63" t="str">
        <f t="shared" si="3"/>
        <v>萧条</v>
      </c>
      <c r="N33" s="63" t="s">
        <v>40</v>
      </c>
      <c r="O33" s="97"/>
      <c r="P33" s="97"/>
      <c r="Q33" s="97"/>
      <c r="R33" s="97"/>
    </row>
    <row r="34" spans="1:18" ht="14">
      <c r="A34" s="45">
        <v>38504</v>
      </c>
      <c r="B34" s="46">
        <f t="shared" si="0"/>
        <v>2005</v>
      </c>
      <c r="C34" s="46">
        <f t="shared" si="1"/>
        <v>6</v>
      </c>
      <c r="D34" s="45" t="str">
        <f t="shared" si="4"/>
        <v>20056</v>
      </c>
      <c r="E34" s="50"/>
      <c r="F34" s="47" t="s">
        <v>28</v>
      </c>
      <c r="G34" s="48">
        <f>VLOOKUP(D34,[2]Sheet1!$E$3:$F$321,2,0)</f>
        <v>15.67</v>
      </c>
      <c r="H34" s="49">
        <f>VLOOKUP(D34,[3]Sheet1!$E$3:$F$239,2,0)</f>
        <v>4723</v>
      </c>
      <c r="I34" s="44" t="s">
        <v>29</v>
      </c>
      <c r="J34" s="48"/>
      <c r="K34" s="62" t="s">
        <v>37</v>
      </c>
      <c r="L34" s="44" t="str">
        <f t="shared" si="5"/>
        <v>宽货币-紧信用</v>
      </c>
      <c r="M34" s="63" t="str">
        <f t="shared" si="3"/>
        <v>萧条</v>
      </c>
      <c r="N34" s="63" t="s">
        <v>40</v>
      </c>
      <c r="O34" s="97"/>
      <c r="P34" s="97"/>
      <c r="Q34" s="97"/>
      <c r="R34" s="97"/>
    </row>
    <row r="35" spans="1:18" ht="14">
      <c r="A35" s="45">
        <v>38534</v>
      </c>
      <c r="B35" s="46">
        <f t="shared" si="0"/>
        <v>2005</v>
      </c>
      <c r="C35" s="46">
        <f t="shared" si="1"/>
        <v>7</v>
      </c>
      <c r="D35" s="45" t="str">
        <f t="shared" si="4"/>
        <v>20057</v>
      </c>
      <c r="E35" s="50"/>
      <c r="F35" s="47" t="s">
        <v>28</v>
      </c>
      <c r="G35" s="48">
        <f>VLOOKUP(D35,[2]Sheet1!$E$3:$F$321,2,0)</f>
        <v>16.3</v>
      </c>
      <c r="H35" s="49">
        <f>VLOOKUP(D35,[3]Sheet1!$E$3:$F$239,2,0)</f>
        <v>629</v>
      </c>
      <c r="I35" s="44" t="s">
        <v>29</v>
      </c>
      <c r="J35" s="48"/>
      <c r="K35" s="62" t="s">
        <v>37</v>
      </c>
      <c r="L35" s="44" t="str">
        <f t="shared" si="5"/>
        <v>宽货币-紧信用</v>
      </c>
      <c r="M35" s="63" t="str">
        <f t="shared" si="3"/>
        <v>萧条</v>
      </c>
      <c r="N35" s="63" t="s">
        <v>40</v>
      </c>
      <c r="O35" s="97"/>
      <c r="P35" s="97"/>
      <c r="Q35" s="97"/>
      <c r="R35" s="97"/>
    </row>
    <row r="36" spans="1:18" ht="14">
      <c r="A36" s="45">
        <v>38565</v>
      </c>
      <c r="B36" s="46">
        <f t="shared" si="0"/>
        <v>2005</v>
      </c>
      <c r="C36" s="46">
        <f t="shared" si="1"/>
        <v>8</v>
      </c>
      <c r="D36" s="45" t="str">
        <f t="shared" si="4"/>
        <v>20058</v>
      </c>
      <c r="E36" s="50"/>
      <c r="F36" s="47" t="s">
        <v>28</v>
      </c>
      <c r="G36" s="48">
        <f>VLOOKUP(D36,[2]Sheet1!$E$3:$F$321,2,0)</f>
        <v>17.34</v>
      </c>
      <c r="H36" s="49">
        <f>VLOOKUP(D36,[3]Sheet1!$E$3:$F$239,2,0)</f>
        <v>2097</v>
      </c>
      <c r="I36" s="44" t="s">
        <v>29</v>
      </c>
      <c r="J36" s="48"/>
      <c r="K36" s="62" t="s">
        <v>37</v>
      </c>
      <c r="L36" s="44" t="str">
        <f t="shared" si="5"/>
        <v>宽货币-紧信用</v>
      </c>
      <c r="M36" s="63" t="str">
        <f t="shared" si="3"/>
        <v>萧条</v>
      </c>
      <c r="N36" s="63" t="s">
        <v>40</v>
      </c>
      <c r="O36" s="97"/>
      <c r="P36" s="97"/>
      <c r="Q36" s="97"/>
      <c r="R36" s="97"/>
    </row>
    <row r="37" spans="1:18" ht="14">
      <c r="A37" s="45">
        <v>38596</v>
      </c>
      <c r="B37" s="46">
        <f t="shared" si="0"/>
        <v>2005</v>
      </c>
      <c r="C37" s="46">
        <f t="shared" si="1"/>
        <v>9</v>
      </c>
      <c r="D37" s="45" t="str">
        <f t="shared" si="4"/>
        <v>20059</v>
      </c>
      <c r="E37" s="50"/>
      <c r="F37" s="47" t="s">
        <v>28</v>
      </c>
      <c r="G37" s="48">
        <f>VLOOKUP(D37,[2]Sheet1!$E$3:$F$321,2,0)</f>
        <v>17.920000000000002</v>
      </c>
      <c r="H37" s="49">
        <f>VLOOKUP(D37,[3]Sheet1!$E$3:$F$239,2,0)</f>
        <v>6041</v>
      </c>
      <c r="I37" s="44" t="s">
        <v>29</v>
      </c>
      <c r="J37" s="48"/>
      <c r="K37" s="62" t="s">
        <v>37</v>
      </c>
      <c r="L37" s="44" t="str">
        <f t="shared" si="5"/>
        <v>宽货币-紧信用</v>
      </c>
      <c r="M37" s="63" t="str">
        <f t="shared" si="3"/>
        <v>萧条</v>
      </c>
      <c r="N37" s="63" t="s">
        <v>40</v>
      </c>
      <c r="O37" s="97"/>
      <c r="P37" s="97"/>
      <c r="Q37" s="97"/>
      <c r="R37" s="97"/>
    </row>
    <row r="38" spans="1:18" ht="14">
      <c r="A38" s="45">
        <v>38626</v>
      </c>
      <c r="B38" s="46">
        <f t="shared" si="0"/>
        <v>2005</v>
      </c>
      <c r="C38" s="46">
        <f t="shared" si="1"/>
        <v>10</v>
      </c>
      <c r="D38" s="45" t="str">
        <f t="shared" si="4"/>
        <v>200510</v>
      </c>
      <c r="E38" s="50"/>
      <c r="F38" s="47" t="s">
        <v>28</v>
      </c>
      <c r="G38" s="48">
        <f>VLOOKUP(D38,[2]Sheet1!$E$3:$F$321,2,0)</f>
        <v>17.989999999999998</v>
      </c>
      <c r="H38" s="49">
        <f>VLOOKUP(D38,[3]Sheet1!$E$3:$F$239,2,0)</f>
        <v>-974</v>
      </c>
      <c r="I38" s="44" t="s">
        <v>29</v>
      </c>
      <c r="J38" s="48"/>
      <c r="K38" s="62" t="s">
        <v>37</v>
      </c>
      <c r="L38" s="44" t="str">
        <f t="shared" si="5"/>
        <v>宽货币-紧信用</v>
      </c>
      <c r="M38" s="63" t="str">
        <f t="shared" si="3"/>
        <v>萧条</v>
      </c>
      <c r="N38" s="63" t="s">
        <v>40</v>
      </c>
      <c r="O38" s="97"/>
      <c r="P38" s="97"/>
      <c r="Q38" s="97"/>
      <c r="R38" s="97"/>
    </row>
    <row r="39" spans="1:18" ht="14">
      <c r="A39" s="45">
        <v>38657</v>
      </c>
      <c r="B39" s="46">
        <f t="shared" si="0"/>
        <v>2005</v>
      </c>
      <c r="C39" s="46">
        <f t="shared" si="1"/>
        <v>11</v>
      </c>
      <c r="D39" s="45" t="str">
        <f t="shared" si="4"/>
        <v>200511</v>
      </c>
      <c r="E39" s="50"/>
      <c r="F39" s="47" t="s">
        <v>28</v>
      </c>
      <c r="G39" s="48">
        <f>VLOOKUP(D39,[2]Sheet1!$E$3:$F$321,2,0)</f>
        <v>18.3</v>
      </c>
      <c r="H39" s="49">
        <f>VLOOKUP(D39,[3]Sheet1!$E$3:$F$239,2,0)</f>
        <v>2368</v>
      </c>
      <c r="I39" s="44" t="s">
        <v>29</v>
      </c>
      <c r="J39" s="48"/>
      <c r="K39" s="62" t="s">
        <v>37</v>
      </c>
      <c r="L39" s="44" t="str">
        <f t="shared" si="5"/>
        <v>宽货币-紧信用</v>
      </c>
      <c r="M39" s="63" t="str">
        <f t="shared" si="3"/>
        <v>萧条</v>
      </c>
      <c r="N39" s="63" t="s">
        <v>40</v>
      </c>
      <c r="O39" s="97"/>
      <c r="P39" s="97"/>
      <c r="Q39" s="97"/>
      <c r="R39" s="97"/>
    </row>
    <row r="40" spans="1:18" ht="70">
      <c r="A40" s="45">
        <v>38687</v>
      </c>
      <c r="B40" s="46">
        <f t="shared" si="0"/>
        <v>2005</v>
      </c>
      <c r="C40" s="46">
        <f t="shared" si="1"/>
        <v>12</v>
      </c>
      <c r="D40" s="45" t="str">
        <f t="shared" si="4"/>
        <v>200512</v>
      </c>
      <c r="E40" s="50"/>
      <c r="F40" s="47" t="s">
        <v>28</v>
      </c>
      <c r="G40" s="48">
        <f>VLOOKUP(D40,[2]Sheet1!$E$3:$F$321,2,0)</f>
        <v>17.57</v>
      </c>
      <c r="H40" s="49">
        <f>VLOOKUP(D40,[3]Sheet1!$E$3:$F$239,2,0)</f>
        <v>2524</v>
      </c>
      <c r="I40" s="44">
        <v>13.5</v>
      </c>
      <c r="J40" s="48" t="s">
        <v>42</v>
      </c>
      <c r="K40" s="62" t="s">
        <v>37</v>
      </c>
      <c r="L40" s="44" t="str">
        <f t="shared" si="5"/>
        <v>宽货币-紧信用</v>
      </c>
      <c r="M40" s="63" t="str">
        <f t="shared" si="3"/>
        <v>萧条</v>
      </c>
      <c r="N40" s="63" t="s">
        <v>40</v>
      </c>
      <c r="O40" s="97"/>
      <c r="P40" s="97"/>
      <c r="Q40" s="97"/>
      <c r="R40" s="97"/>
    </row>
    <row r="41" spans="1:18" ht="14">
      <c r="A41" s="45">
        <v>38718</v>
      </c>
      <c r="B41" s="46">
        <f t="shared" si="0"/>
        <v>2006</v>
      </c>
      <c r="C41" s="46">
        <f t="shared" si="1"/>
        <v>1</v>
      </c>
      <c r="D41" s="45" t="str">
        <f t="shared" si="4"/>
        <v>20061</v>
      </c>
      <c r="E41" s="50"/>
      <c r="F41" s="47" t="s">
        <v>28</v>
      </c>
      <c r="G41" s="48">
        <f>VLOOKUP(D41,[2]Sheet1!$E$3:$F$321,2,0)</f>
        <v>19.21</v>
      </c>
      <c r="H41" s="49">
        <f>VLOOKUP(D41,[3]Sheet1!$E$3:$F$239,2,0)</f>
        <v>6323</v>
      </c>
      <c r="I41" s="44" t="s">
        <v>29</v>
      </c>
      <c r="J41" s="48"/>
      <c r="K41" s="58" t="s">
        <v>30</v>
      </c>
      <c r="L41" s="44" t="str">
        <f t="shared" si="5"/>
        <v>宽货币-宽信用</v>
      </c>
      <c r="M41" s="59" t="str">
        <f t="shared" si="3"/>
        <v>复苏</v>
      </c>
      <c r="N41" s="59" t="s">
        <v>31</v>
      </c>
      <c r="O41" s="97"/>
      <c r="P41" s="97"/>
      <c r="Q41" s="97"/>
      <c r="R41" s="97"/>
    </row>
    <row r="42" spans="1:18" ht="14">
      <c r="A42" s="45">
        <v>38749</v>
      </c>
      <c r="B42" s="46">
        <f t="shared" si="0"/>
        <v>2006</v>
      </c>
      <c r="C42" s="46">
        <f t="shared" si="1"/>
        <v>2</v>
      </c>
      <c r="D42" s="45" t="str">
        <f t="shared" si="4"/>
        <v>20062</v>
      </c>
      <c r="E42" s="50"/>
      <c r="F42" s="47" t="s">
        <v>28</v>
      </c>
      <c r="G42" s="48">
        <f>VLOOKUP(D42,[2]Sheet1!$E$3:$F$321,2,0)</f>
        <v>18.8</v>
      </c>
      <c r="H42" s="49">
        <f>VLOOKUP(D42,[3]Sheet1!$E$3:$F$239,2,0)</f>
        <v>1737</v>
      </c>
      <c r="I42" s="44" t="s">
        <v>29</v>
      </c>
      <c r="J42" s="48"/>
      <c r="K42" s="58" t="s">
        <v>30</v>
      </c>
      <c r="L42" s="44" t="str">
        <f t="shared" si="5"/>
        <v>宽货币-宽信用</v>
      </c>
      <c r="M42" s="59" t="str">
        <f t="shared" si="3"/>
        <v>复苏</v>
      </c>
      <c r="N42" s="59" t="s">
        <v>31</v>
      </c>
      <c r="O42" s="97"/>
      <c r="P42" s="97"/>
      <c r="Q42" s="97"/>
      <c r="R42" s="97"/>
    </row>
    <row r="43" spans="1:18" ht="14">
      <c r="A43" s="45">
        <v>38777</v>
      </c>
      <c r="B43" s="46">
        <f t="shared" si="0"/>
        <v>2006</v>
      </c>
      <c r="C43" s="46">
        <f t="shared" si="1"/>
        <v>3</v>
      </c>
      <c r="D43" s="45" t="str">
        <f t="shared" si="4"/>
        <v>20063</v>
      </c>
      <c r="E43" s="50"/>
      <c r="F43" s="47" t="s">
        <v>28</v>
      </c>
      <c r="G43" s="48">
        <f>VLOOKUP(D43,[2]Sheet1!$E$3:$F$321,2,0)</f>
        <v>18.8</v>
      </c>
      <c r="H43" s="49">
        <f>VLOOKUP(D43,[3]Sheet1!$E$3:$F$239,2,0)</f>
        <v>7472</v>
      </c>
      <c r="I43" s="44" t="s">
        <v>29</v>
      </c>
      <c r="J43" s="48"/>
      <c r="K43" s="58" t="s">
        <v>30</v>
      </c>
      <c r="L43" s="44" t="str">
        <f t="shared" si="5"/>
        <v>宽货币-宽信用</v>
      </c>
      <c r="M43" s="59" t="str">
        <f t="shared" si="3"/>
        <v>复苏</v>
      </c>
      <c r="N43" s="59" t="s">
        <v>31</v>
      </c>
      <c r="O43" s="97"/>
      <c r="P43" s="97"/>
      <c r="Q43" s="97"/>
      <c r="R43" s="97"/>
    </row>
    <row r="44" spans="1:18" ht="56">
      <c r="A44" s="51">
        <v>38808</v>
      </c>
      <c r="B44" s="46">
        <f t="shared" si="0"/>
        <v>2006</v>
      </c>
      <c r="C44" s="46">
        <f t="shared" si="1"/>
        <v>4</v>
      </c>
      <c r="D44" s="45" t="str">
        <f t="shared" si="4"/>
        <v>20064</v>
      </c>
      <c r="E44" s="55" t="s">
        <v>43</v>
      </c>
      <c r="F44" s="47" t="s">
        <v>28</v>
      </c>
      <c r="G44" s="48">
        <f>VLOOKUP(D44,[2]Sheet1!$E$3:$F$321,2,0)</f>
        <v>18.899999999999999</v>
      </c>
      <c r="H44" s="49">
        <f>VLOOKUP(D44,[3]Sheet1!$E$3:$F$239,2,0)</f>
        <v>3325</v>
      </c>
      <c r="I44" s="44" t="s">
        <v>29</v>
      </c>
      <c r="J44" s="48"/>
      <c r="K44" s="58" t="s">
        <v>30</v>
      </c>
      <c r="L44" s="44" t="str">
        <f t="shared" si="5"/>
        <v>宽货币-宽信用</v>
      </c>
      <c r="M44" s="59" t="str">
        <f t="shared" si="3"/>
        <v>复苏</v>
      </c>
      <c r="N44" s="59" t="s">
        <v>31</v>
      </c>
      <c r="O44" s="97"/>
      <c r="P44" s="97"/>
      <c r="Q44" s="97"/>
      <c r="R44" s="97"/>
    </row>
    <row r="45" spans="1:18" ht="14">
      <c r="A45" s="45">
        <v>38838</v>
      </c>
      <c r="B45" s="46">
        <f t="shared" si="0"/>
        <v>2006</v>
      </c>
      <c r="C45" s="46">
        <f t="shared" si="1"/>
        <v>5</v>
      </c>
      <c r="D45" s="45" t="str">
        <f t="shared" si="4"/>
        <v>20065</v>
      </c>
      <c r="E45" s="50"/>
      <c r="F45" s="53" t="s">
        <v>34</v>
      </c>
      <c r="G45" s="48">
        <f>VLOOKUP(D45,[2]Sheet1!$E$3:$F$321,2,0)</f>
        <v>19.100000000000001</v>
      </c>
      <c r="H45" s="49">
        <f>VLOOKUP(D45,[3]Sheet1!$E$3:$F$239,2,0)</f>
        <v>3785</v>
      </c>
      <c r="I45" s="44" t="s">
        <v>29</v>
      </c>
      <c r="J45" s="48"/>
      <c r="K45" s="58" t="s">
        <v>30</v>
      </c>
      <c r="L45" s="44" t="str">
        <f t="shared" si="5"/>
        <v>紧货币-宽信用</v>
      </c>
      <c r="M45" s="64" t="str">
        <f t="shared" si="3"/>
        <v>过热</v>
      </c>
      <c r="N45" s="64" t="s">
        <v>35</v>
      </c>
      <c r="O45" s="97"/>
      <c r="P45" s="97"/>
      <c r="Q45" s="97"/>
      <c r="R45" s="97"/>
    </row>
    <row r="46" spans="1:18" ht="14">
      <c r="A46" s="45">
        <v>38869</v>
      </c>
      <c r="B46" s="46">
        <f t="shared" si="0"/>
        <v>2006</v>
      </c>
      <c r="C46" s="46">
        <f t="shared" si="1"/>
        <v>6</v>
      </c>
      <c r="D46" s="45" t="str">
        <f t="shared" si="4"/>
        <v>20066</v>
      </c>
      <c r="E46" s="50"/>
      <c r="F46" s="53" t="s">
        <v>34</v>
      </c>
      <c r="G46" s="48">
        <f>VLOOKUP(D46,[2]Sheet1!$E$3:$F$321,2,0)</f>
        <v>18.43</v>
      </c>
      <c r="H46" s="49">
        <f>VLOOKUP(D46,[3]Sheet1!$E$3:$F$239,2,0)</f>
        <v>3843</v>
      </c>
      <c r="I46" s="44" t="s">
        <v>29</v>
      </c>
      <c r="J46" s="48"/>
      <c r="K46" s="58" t="s">
        <v>30</v>
      </c>
      <c r="L46" s="44" t="str">
        <f t="shared" si="5"/>
        <v>紧货币-宽信用</v>
      </c>
      <c r="M46" s="64" t="str">
        <f t="shared" si="3"/>
        <v>过热</v>
      </c>
      <c r="N46" s="64" t="s">
        <v>35</v>
      </c>
      <c r="O46" s="97"/>
      <c r="P46" s="97"/>
      <c r="Q46" s="97"/>
      <c r="R46" s="97"/>
    </row>
    <row r="47" spans="1:18" ht="14">
      <c r="A47" s="45">
        <v>38899</v>
      </c>
      <c r="B47" s="46">
        <f t="shared" si="0"/>
        <v>2006</v>
      </c>
      <c r="C47" s="46">
        <f t="shared" si="1"/>
        <v>7</v>
      </c>
      <c r="D47" s="45" t="str">
        <f t="shared" si="4"/>
        <v>20067</v>
      </c>
      <c r="E47" s="50"/>
      <c r="F47" s="53" t="s">
        <v>34</v>
      </c>
      <c r="G47" s="48">
        <f>VLOOKUP(D47,[2]Sheet1!$E$3:$F$321,2,0)</f>
        <v>18.399999999999999</v>
      </c>
      <c r="H47" s="49">
        <f>VLOOKUP(D47,[3]Sheet1!$E$3:$F$239,2,0)</f>
        <v>2254</v>
      </c>
      <c r="I47" s="44" t="s">
        <v>29</v>
      </c>
      <c r="J47" s="48"/>
      <c r="K47" s="58" t="s">
        <v>30</v>
      </c>
      <c r="L47" s="44" t="str">
        <f t="shared" si="5"/>
        <v>紧货币-宽信用</v>
      </c>
      <c r="M47" s="64" t="str">
        <f t="shared" si="3"/>
        <v>过热</v>
      </c>
      <c r="N47" s="64" t="s">
        <v>35</v>
      </c>
      <c r="O47" s="97"/>
      <c r="P47" s="97"/>
      <c r="Q47" s="97"/>
      <c r="R47" s="97"/>
    </row>
    <row r="48" spans="1:18" ht="15">
      <c r="A48" s="45">
        <v>38930</v>
      </c>
      <c r="B48" s="46">
        <f t="shared" si="0"/>
        <v>2006</v>
      </c>
      <c r="C48" s="46">
        <f t="shared" si="1"/>
        <v>8</v>
      </c>
      <c r="D48" s="45" t="str">
        <f t="shared" si="4"/>
        <v>20068</v>
      </c>
      <c r="E48" s="52" t="s">
        <v>41</v>
      </c>
      <c r="F48" s="53" t="s">
        <v>34</v>
      </c>
      <c r="G48" s="48">
        <f>VLOOKUP(D48,[2]Sheet1!$E$3:$F$321,2,0)</f>
        <v>17.899999999999999</v>
      </c>
      <c r="H48" s="49">
        <f>VLOOKUP(D48,[3]Sheet1!$E$3:$F$239,2,0)</f>
        <v>3362</v>
      </c>
      <c r="I48" s="44" t="s">
        <v>29</v>
      </c>
      <c r="J48" s="48"/>
      <c r="K48" s="58" t="s">
        <v>30</v>
      </c>
      <c r="L48" s="44" t="str">
        <f t="shared" si="5"/>
        <v>紧货币-宽信用</v>
      </c>
      <c r="M48" s="64" t="str">
        <f t="shared" si="3"/>
        <v>过热</v>
      </c>
      <c r="N48" s="64" t="s">
        <v>35</v>
      </c>
      <c r="O48" s="97"/>
      <c r="P48" s="97"/>
      <c r="Q48" s="97"/>
      <c r="R48" s="97"/>
    </row>
    <row r="49" spans="1:18" ht="14">
      <c r="A49" s="45">
        <v>38961</v>
      </c>
      <c r="B49" s="46">
        <f t="shared" si="0"/>
        <v>2006</v>
      </c>
      <c r="C49" s="46">
        <f t="shared" si="1"/>
        <v>9</v>
      </c>
      <c r="D49" s="45" t="str">
        <f t="shared" si="4"/>
        <v>20069</v>
      </c>
      <c r="E49" s="50"/>
      <c r="F49" s="53" t="s">
        <v>34</v>
      </c>
      <c r="G49" s="48">
        <f>VLOOKUP(D49,[2]Sheet1!$E$3:$F$321,2,0)</f>
        <v>16.829999999999998</v>
      </c>
      <c r="H49" s="49">
        <f>VLOOKUP(D49,[3]Sheet1!$E$3:$F$239,2,0)</f>
        <v>3077</v>
      </c>
      <c r="I49" s="44" t="s">
        <v>29</v>
      </c>
      <c r="J49" s="48"/>
      <c r="K49" s="58" t="s">
        <v>30</v>
      </c>
      <c r="L49" s="44" t="str">
        <f t="shared" si="5"/>
        <v>紧货币-宽信用</v>
      </c>
      <c r="M49" s="64" t="str">
        <f t="shared" si="3"/>
        <v>过热</v>
      </c>
      <c r="N49" s="64" t="s">
        <v>35</v>
      </c>
      <c r="O49" s="97"/>
      <c r="P49" s="97"/>
      <c r="Q49" s="97"/>
      <c r="R49" s="97"/>
    </row>
    <row r="50" spans="1:18" ht="14">
      <c r="A50" s="45">
        <v>38991</v>
      </c>
      <c r="B50" s="46">
        <f t="shared" si="0"/>
        <v>2006</v>
      </c>
      <c r="C50" s="46">
        <f t="shared" si="1"/>
        <v>10</v>
      </c>
      <c r="D50" s="45" t="str">
        <f t="shared" si="4"/>
        <v>200610</v>
      </c>
      <c r="E50" s="50"/>
      <c r="F50" s="53" t="s">
        <v>34</v>
      </c>
      <c r="G50" s="48">
        <f>VLOOKUP(D50,[2]Sheet1!$E$3:$F$321,2,0)</f>
        <v>17.100000000000001</v>
      </c>
      <c r="H50" s="49">
        <f>VLOOKUP(D50,[3]Sheet1!$E$3:$F$239,2,0)</f>
        <v>894</v>
      </c>
      <c r="I50" s="44" t="s">
        <v>29</v>
      </c>
      <c r="J50" s="48"/>
      <c r="K50" s="58" t="s">
        <v>30</v>
      </c>
      <c r="L50" s="44" t="str">
        <f t="shared" si="5"/>
        <v>紧货币-宽信用</v>
      </c>
      <c r="M50" s="64" t="str">
        <f t="shared" si="3"/>
        <v>过热</v>
      </c>
      <c r="N50" s="64" t="s">
        <v>35</v>
      </c>
      <c r="O50" s="97"/>
      <c r="P50" s="97"/>
      <c r="Q50" s="97"/>
      <c r="R50" s="97"/>
    </row>
    <row r="51" spans="1:18" ht="14">
      <c r="A51" s="45">
        <v>39022</v>
      </c>
      <c r="B51" s="46">
        <f t="shared" si="0"/>
        <v>2006</v>
      </c>
      <c r="C51" s="46">
        <f t="shared" si="1"/>
        <v>11</v>
      </c>
      <c r="D51" s="45" t="str">
        <f t="shared" si="4"/>
        <v>200611</v>
      </c>
      <c r="E51" s="50"/>
      <c r="F51" s="53" t="s">
        <v>34</v>
      </c>
      <c r="G51" s="48">
        <f>VLOOKUP(D51,[2]Sheet1!$E$3:$F$321,2,0)</f>
        <v>16.8</v>
      </c>
      <c r="H51" s="49">
        <f>VLOOKUP(D51,[3]Sheet1!$E$3:$F$239,2,0)</f>
        <v>2788</v>
      </c>
      <c r="I51" s="44" t="s">
        <v>29</v>
      </c>
      <c r="J51" s="48"/>
      <c r="K51" s="58" t="s">
        <v>30</v>
      </c>
      <c r="L51" s="44" t="str">
        <f t="shared" si="5"/>
        <v>紧货币-宽信用</v>
      </c>
      <c r="M51" s="64" t="str">
        <f t="shared" si="3"/>
        <v>过热</v>
      </c>
      <c r="N51" s="64" t="s">
        <v>35</v>
      </c>
      <c r="O51" s="97"/>
      <c r="P51" s="97"/>
      <c r="Q51" s="97"/>
      <c r="R51" s="97"/>
    </row>
    <row r="52" spans="1:18" ht="14">
      <c r="A52" s="45">
        <v>39052</v>
      </c>
      <c r="B52" s="46">
        <f t="shared" si="0"/>
        <v>2006</v>
      </c>
      <c r="C52" s="46">
        <f t="shared" si="1"/>
        <v>12</v>
      </c>
      <c r="D52" s="45" t="str">
        <f t="shared" si="4"/>
        <v>200612</v>
      </c>
      <c r="E52" s="50"/>
      <c r="F52" s="53" t="s">
        <v>34</v>
      </c>
      <c r="G52" s="48">
        <f>VLOOKUP(D52,[2]Sheet1!$E$3:$F$321,2,0)</f>
        <v>16.940000000000001</v>
      </c>
      <c r="H52" s="49">
        <f>VLOOKUP(D52,[3]Sheet1!$E$3:$F$239,2,0)</f>
        <v>3837</v>
      </c>
      <c r="I52" s="44">
        <v>18.100000000000001</v>
      </c>
      <c r="J52" s="48"/>
      <c r="K52" s="58" t="s">
        <v>30</v>
      </c>
      <c r="L52" s="44" t="str">
        <f t="shared" si="5"/>
        <v>紧货币-宽信用</v>
      </c>
      <c r="M52" s="64" t="str">
        <f t="shared" si="3"/>
        <v>过热</v>
      </c>
      <c r="N52" s="64" t="s">
        <v>35</v>
      </c>
      <c r="O52" s="97"/>
      <c r="P52" s="97"/>
      <c r="Q52" s="97"/>
      <c r="R52" s="97"/>
    </row>
    <row r="53" spans="1:18" ht="14">
      <c r="A53" s="45">
        <v>39083</v>
      </c>
      <c r="B53" s="46">
        <f t="shared" si="0"/>
        <v>2007</v>
      </c>
      <c r="C53" s="46">
        <f t="shared" si="1"/>
        <v>1</v>
      </c>
      <c r="D53" s="45" t="str">
        <f t="shared" si="4"/>
        <v>20071</v>
      </c>
      <c r="E53" s="50"/>
      <c r="F53" s="53" t="s">
        <v>34</v>
      </c>
      <c r="G53" s="48">
        <f>VLOOKUP(D53,[2]Sheet1!$E$3:$F$321,2,0)</f>
        <v>15.93</v>
      </c>
      <c r="H53" s="49">
        <f>VLOOKUP(D53,[3]Sheet1!$E$3:$F$239,2,0)</f>
        <v>6908</v>
      </c>
      <c r="I53" s="44" t="s">
        <v>29</v>
      </c>
      <c r="J53" s="48"/>
      <c r="K53" s="58" t="s">
        <v>30</v>
      </c>
      <c r="L53" s="44" t="str">
        <f t="shared" si="5"/>
        <v>紧货币-宽信用</v>
      </c>
      <c r="M53" s="64" t="str">
        <f t="shared" si="3"/>
        <v>过热</v>
      </c>
      <c r="N53" s="64" t="s">
        <v>35</v>
      </c>
      <c r="O53" s="97"/>
      <c r="P53" s="97"/>
      <c r="Q53" s="97"/>
      <c r="R53" s="97"/>
    </row>
    <row r="54" spans="1:18" ht="14">
      <c r="A54" s="45">
        <v>39114</v>
      </c>
      <c r="B54" s="46">
        <f t="shared" si="0"/>
        <v>2007</v>
      </c>
      <c r="C54" s="46">
        <f t="shared" si="1"/>
        <v>2</v>
      </c>
      <c r="D54" s="45" t="str">
        <f t="shared" si="4"/>
        <v>20072</v>
      </c>
      <c r="E54" s="50"/>
      <c r="F54" s="53" t="s">
        <v>34</v>
      </c>
      <c r="G54" s="48">
        <f>VLOOKUP(D54,[2]Sheet1!$E$3:$F$321,2,0)</f>
        <v>17.8</v>
      </c>
      <c r="H54" s="49">
        <f>VLOOKUP(D54,[3]Sheet1!$E$3:$F$239,2,0)</f>
        <v>3083</v>
      </c>
      <c r="I54" s="44" t="s">
        <v>29</v>
      </c>
      <c r="J54" s="48"/>
      <c r="K54" s="58" t="s">
        <v>30</v>
      </c>
      <c r="L54" s="44" t="str">
        <f t="shared" si="5"/>
        <v>紧货币-宽信用</v>
      </c>
      <c r="M54" s="64" t="str">
        <f t="shared" si="3"/>
        <v>过热</v>
      </c>
      <c r="N54" s="64" t="s">
        <v>35</v>
      </c>
      <c r="O54" s="97"/>
      <c r="P54" s="97"/>
      <c r="Q54" s="97"/>
      <c r="R54" s="97"/>
    </row>
    <row r="55" spans="1:18" ht="14">
      <c r="A55" s="45">
        <v>39142</v>
      </c>
      <c r="B55" s="46">
        <f t="shared" si="0"/>
        <v>2007</v>
      </c>
      <c r="C55" s="46">
        <f t="shared" si="1"/>
        <v>3</v>
      </c>
      <c r="D55" s="45" t="str">
        <f t="shared" si="4"/>
        <v>20073</v>
      </c>
      <c r="E55" s="50"/>
      <c r="F55" s="53" t="s">
        <v>34</v>
      </c>
      <c r="G55" s="48">
        <f>VLOOKUP(D55,[2]Sheet1!$E$3:$F$321,2,0)</f>
        <v>17.3</v>
      </c>
      <c r="H55" s="49">
        <f>VLOOKUP(D55,[3]Sheet1!$E$3:$F$239,2,0)</f>
        <v>6311</v>
      </c>
      <c r="I55" s="44" t="s">
        <v>29</v>
      </c>
      <c r="J55" s="48"/>
      <c r="K55" s="58" t="s">
        <v>30</v>
      </c>
      <c r="L55" s="44" t="str">
        <f t="shared" si="5"/>
        <v>紧货币-宽信用</v>
      </c>
      <c r="M55" s="64" t="str">
        <f t="shared" si="3"/>
        <v>过热</v>
      </c>
      <c r="N55" s="64" t="s">
        <v>35</v>
      </c>
      <c r="O55" s="97"/>
      <c r="P55" s="97"/>
      <c r="Q55" s="97"/>
      <c r="R55" s="97"/>
    </row>
    <row r="56" spans="1:18" ht="14">
      <c r="A56" s="45">
        <v>39173</v>
      </c>
      <c r="B56" s="46">
        <f t="shared" si="0"/>
        <v>2007</v>
      </c>
      <c r="C56" s="46">
        <f t="shared" si="1"/>
        <v>4</v>
      </c>
      <c r="D56" s="45" t="str">
        <f t="shared" si="4"/>
        <v>20074</v>
      </c>
      <c r="E56" s="50"/>
      <c r="F56" s="53" t="s">
        <v>34</v>
      </c>
      <c r="G56" s="48">
        <f>VLOOKUP(D56,[2]Sheet1!$E$3:$F$321,2,0)</f>
        <v>17.100000000000001</v>
      </c>
      <c r="H56" s="49">
        <f>VLOOKUP(D56,[3]Sheet1!$E$3:$F$239,2,0)</f>
        <v>6103</v>
      </c>
      <c r="I56" s="44" t="s">
        <v>29</v>
      </c>
      <c r="J56" s="48"/>
      <c r="K56" s="58" t="s">
        <v>30</v>
      </c>
      <c r="L56" s="44" t="str">
        <f t="shared" si="5"/>
        <v>紧货币-宽信用</v>
      </c>
      <c r="M56" s="64" t="str">
        <f t="shared" si="3"/>
        <v>过热</v>
      </c>
      <c r="N56" s="64" t="s">
        <v>35</v>
      </c>
      <c r="O56" s="97"/>
      <c r="P56" s="97"/>
      <c r="Q56" s="97"/>
      <c r="R56" s="97"/>
    </row>
    <row r="57" spans="1:18" ht="14">
      <c r="A57" s="45">
        <v>39203</v>
      </c>
      <c r="B57" s="46">
        <f t="shared" si="0"/>
        <v>2007</v>
      </c>
      <c r="C57" s="46">
        <f t="shared" si="1"/>
        <v>5</v>
      </c>
      <c r="D57" s="45" t="str">
        <f t="shared" si="4"/>
        <v>20075</v>
      </c>
      <c r="E57" s="50"/>
      <c r="F57" s="53" t="s">
        <v>34</v>
      </c>
      <c r="G57" s="48">
        <f>VLOOKUP(D57,[2]Sheet1!$E$3:$F$321,2,0)</f>
        <v>16.739999999999998</v>
      </c>
      <c r="H57" s="49">
        <f>VLOOKUP(D57,[3]Sheet1!$E$3:$F$239,2,0)</f>
        <v>3824</v>
      </c>
      <c r="I57" s="44" t="s">
        <v>29</v>
      </c>
      <c r="J57" s="48"/>
      <c r="K57" s="58" t="s">
        <v>30</v>
      </c>
      <c r="L57" s="44" t="str">
        <f t="shared" si="5"/>
        <v>紧货币-宽信用</v>
      </c>
      <c r="M57" s="64" t="str">
        <f t="shared" si="3"/>
        <v>过热</v>
      </c>
      <c r="N57" s="64" t="s">
        <v>35</v>
      </c>
      <c r="O57" s="97"/>
      <c r="P57" s="97"/>
      <c r="Q57" s="97"/>
      <c r="R57" s="97"/>
    </row>
    <row r="58" spans="1:18" ht="14">
      <c r="A58" s="45">
        <v>39234</v>
      </c>
      <c r="B58" s="46">
        <f t="shared" si="0"/>
        <v>2007</v>
      </c>
      <c r="C58" s="46">
        <f t="shared" si="1"/>
        <v>6</v>
      </c>
      <c r="D58" s="45" t="str">
        <f t="shared" si="4"/>
        <v>20076</v>
      </c>
      <c r="E58" s="50"/>
      <c r="F58" s="53" t="s">
        <v>34</v>
      </c>
      <c r="G58" s="48">
        <f>VLOOKUP(D58,[2]Sheet1!$E$3:$F$321,2,0)</f>
        <v>17.059999999999999</v>
      </c>
      <c r="H58" s="49">
        <f>VLOOKUP(D58,[3]Sheet1!$E$3:$F$239,2,0)</f>
        <v>7042</v>
      </c>
      <c r="I58" s="44" t="s">
        <v>29</v>
      </c>
      <c r="J58" s="48"/>
      <c r="K58" s="58" t="s">
        <v>30</v>
      </c>
      <c r="L58" s="44" t="str">
        <f t="shared" si="5"/>
        <v>紧货币-宽信用</v>
      </c>
      <c r="M58" s="64" t="str">
        <f t="shared" si="3"/>
        <v>过热</v>
      </c>
      <c r="N58" s="64" t="s">
        <v>35</v>
      </c>
      <c r="O58" s="97"/>
      <c r="P58" s="97"/>
      <c r="Q58" s="97"/>
      <c r="R58" s="97"/>
    </row>
    <row r="59" spans="1:18" ht="14">
      <c r="A59" s="45">
        <v>39264</v>
      </c>
      <c r="B59" s="46">
        <f t="shared" si="0"/>
        <v>2007</v>
      </c>
      <c r="C59" s="46">
        <f t="shared" si="1"/>
        <v>7</v>
      </c>
      <c r="D59" s="45" t="str">
        <f t="shared" si="4"/>
        <v>20077</v>
      </c>
      <c r="E59" s="50"/>
      <c r="F59" s="53" t="s">
        <v>34</v>
      </c>
      <c r="G59" s="48">
        <f>VLOOKUP(D59,[2]Sheet1!$E$3:$F$321,2,0)</f>
        <v>18.5</v>
      </c>
      <c r="H59" s="49">
        <f>VLOOKUP(D59,[3]Sheet1!$E$3:$F$239,2,0)</f>
        <v>3100</v>
      </c>
      <c r="I59" s="44" t="s">
        <v>29</v>
      </c>
      <c r="J59" s="48"/>
      <c r="K59" s="58" t="s">
        <v>30</v>
      </c>
      <c r="L59" s="44" t="str">
        <f t="shared" si="5"/>
        <v>紧货币-宽信用</v>
      </c>
      <c r="M59" s="64" t="str">
        <f t="shared" si="3"/>
        <v>过热</v>
      </c>
      <c r="N59" s="64" t="s">
        <v>35</v>
      </c>
      <c r="O59" s="97"/>
      <c r="P59" s="97"/>
      <c r="Q59" s="97"/>
      <c r="R59" s="97"/>
    </row>
    <row r="60" spans="1:18" ht="14">
      <c r="A60" s="45">
        <v>39295</v>
      </c>
      <c r="B60" s="46">
        <f t="shared" si="0"/>
        <v>2007</v>
      </c>
      <c r="C60" s="46">
        <f t="shared" si="1"/>
        <v>8</v>
      </c>
      <c r="D60" s="45" t="str">
        <f t="shared" si="4"/>
        <v>20078</v>
      </c>
      <c r="E60" s="50"/>
      <c r="F60" s="53" t="s">
        <v>34</v>
      </c>
      <c r="G60" s="48">
        <f>VLOOKUP(D60,[2]Sheet1!$E$3:$F$321,2,0)</f>
        <v>18.100000000000001</v>
      </c>
      <c r="H60" s="49">
        <f>VLOOKUP(D60,[3]Sheet1!$E$3:$F$239,2,0)</f>
        <v>6961</v>
      </c>
      <c r="I60" s="44" t="s">
        <v>29</v>
      </c>
      <c r="J60" s="48"/>
      <c r="K60" s="58" t="s">
        <v>30</v>
      </c>
      <c r="L60" s="44" t="str">
        <f t="shared" si="5"/>
        <v>紧货币-宽信用</v>
      </c>
      <c r="M60" s="64" t="str">
        <f t="shared" si="3"/>
        <v>过热</v>
      </c>
      <c r="N60" s="64" t="s">
        <v>35</v>
      </c>
      <c r="O60" s="97"/>
      <c r="P60" s="97"/>
      <c r="Q60" s="97"/>
      <c r="R60" s="97"/>
    </row>
    <row r="61" spans="1:18" ht="14">
      <c r="A61" s="45">
        <v>39326</v>
      </c>
      <c r="B61" s="46">
        <f t="shared" si="0"/>
        <v>2007</v>
      </c>
      <c r="C61" s="46">
        <f t="shared" si="1"/>
        <v>9</v>
      </c>
      <c r="D61" s="45" t="str">
        <f t="shared" si="4"/>
        <v>20079</v>
      </c>
      <c r="E61" s="50"/>
      <c r="F61" s="53" t="s">
        <v>34</v>
      </c>
      <c r="G61" s="48">
        <f>VLOOKUP(D61,[2]Sheet1!$E$3:$F$321,2,0)</f>
        <v>18.45</v>
      </c>
      <c r="H61" s="49">
        <f>VLOOKUP(D61,[3]Sheet1!$E$3:$F$239,2,0)</f>
        <v>5290</v>
      </c>
      <c r="I61" s="44" t="s">
        <v>29</v>
      </c>
      <c r="J61" s="48"/>
      <c r="K61" s="58" t="s">
        <v>30</v>
      </c>
      <c r="L61" s="44" t="str">
        <f t="shared" si="5"/>
        <v>紧货币-宽信用</v>
      </c>
      <c r="M61" s="64" t="str">
        <f t="shared" si="3"/>
        <v>过热</v>
      </c>
      <c r="N61" s="64" t="s">
        <v>35</v>
      </c>
      <c r="O61" s="97"/>
      <c r="P61" s="97"/>
      <c r="Q61" s="97"/>
      <c r="R61" s="97"/>
    </row>
    <row r="62" spans="1:18" ht="14">
      <c r="A62" s="45">
        <v>39356</v>
      </c>
      <c r="B62" s="46">
        <f t="shared" si="0"/>
        <v>2007</v>
      </c>
      <c r="C62" s="46">
        <f t="shared" si="1"/>
        <v>10</v>
      </c>
      <c r="D62" s="45" t="str">
        <f t="shared" si="4"/>
        <v>200710</v>
      </c>
      <c r="E62" s="50"/>
      <c r="F62" s="53" t="s">
        <v>34</v>
      </c>
      <c r="G62" s="48">
        <f>VLOOKUP(D62,[2]Sheet1!$E$3:$F$321,2,0)</f>
        <v>18.47</v>
      </c>
      <c r="H62" s="49">
        <f>VLOOKUP(D62,[3]Sheet1!$E$3:$F$239,2,0)</f>
        <v>3688</v>
      </c>
      <c r="I62" s="44" t="s">
        <v>29</v>
      </c>
      <c r="J62" s="48"/>
      <c r="K62" s="58" t="s">
        <v>30</v>
      </c>
      <c r="L62" s="44" t="str">
        <f t="shared" si="5"/>
        <v>紧货币-宽信用</v>
      </c>
      <c r="M62" s="64" t="str">
        <f t="shared" si="3"/>
        <v>过热</v>
      </c>
      <c r="N62" s="64" t="s">
        <v>35</v>
      </c>
      <c r="O62" s="97"/>
      <c r="P62" s="97"/>
      <c r="Q62" s="97"/>
      <c r="R62" s="97"/>
    </row>
    <row r="63" spans="1:18" ht="14">
      <c r="A63" s="45">
        <v>39387</v>
      </c>
      <c r="B63" s="46">
        <f t="shared" si="0"/>
        <v>2007</v>
      </c>
      <c r="C63" s="46">
        <f t="shared" si="1"/>
        <v>11</v>
      </c>
      <c r="D63" s="45" t="str">
        <f t="shared" si="4"/>
        <v>200711</v>
      </c>
      <c r="E63" s="50"/>
      <c r="F63" s="53" t="s">
        <v>34</v>
      </c>
      <c r="G63" s="48">
        <f>VLOOKUP(D63,[2]Sheet1!$E$3:$F$321,2,0)</f>
        <v>18.45</v>
      </c>
      <c r="H63" s="49">
        <f>VLOOKUP(D63,[3]Sheet1!$E$3:$F$239,2,0)</f>
        <v>3073</v>
      </c>
      <c r="I63" s="44" t="s">
        <v>29</v>
      </c>
      <c r="J63" s="48"/>
      <c r="K63" s="58" t="s">
        <v>30</v>
      </c>
      <c r="L63" s="44" t="str">
        <f t="shared" si="5"/>
        <v>紧货币-宽信用</v>
      </c>
      <c r="M63" s="64" t="str">
        <f t="shared" si="3"/>
        <v>过热</v>
      </c>
      <c r="N63" s="64" t="s">
        <v>35</v>
      </c>
      <c r="O63" s="97"/>
      <c r="P63" s="97"/>
      <c r="Q63" s="97"/>
      <c r="R63" s="97"/>
    </row>
    <row r="64" spans="1:18" ht="14">
      <c r="A64" s="45">
        <v>39417</v>
      </c>
      <c r="B64" s="46">
        <f t="shared" si="0"/>
        <v>2007</v>
      </c>
      <c r="C64" s="46">
        <f t="shared" si="1"/>
        <v>12</v>
      </c>
      <c r="D64" s="45" t="str">
        <f t="shared" si="4"/>
        <v>200712</v>
      </c>
      <c r="E64" s="50"/>
      <c r="F64" s="53" t="s">
        <v>34</v>
      </c>
      <c r="G64" s="48">
        <f>VLOOKUP(D64,[2]Sheet1!$E$3:$F$321,2,0)</f>
        <v>16.72</v>
      </c>
      <c r="H64" s="49">
        <f>VLOOKUP(D64,[3]Sheet1!$E$3:$F$239,2,0)</f>
        <v>4281</v>
      </c>
      <c r="I64" s="44">
        <v>21.5</v>
      </c>
      <c r="J64" s="48"/>
      <c r="K64" s="58" t="s">
        <v>30</v>
      </c>
      <c r="L64" s="44" t="str">
        <f t="shared" si="5"/>
        <v>紧货币-宽信用</v>
      </c>
      <c r="M64" s="64" t="str">
        <f t="shared" si="3"/>
        <v>过热</v>
      </c>
      <c r="N64" s="64" t="s">
        <v>35</v>
      </c>
      <c r="O64" s="97"/>
      <c r="P64" s="97"/>
      <c r="Q64" s="97"/>
      <c r="R64" s="97"/>
    </row>
    <row r="65" spans="1:18" ht="14">
      <c r="A65" s="45">
        <v>39448</v>
      </c>
      <c r="B65" s="46">
        <f t="shared" si="0"/>
        <v>2008</v>
      </c>
      <c r="C65" s="46">
        <f t="shared" si="1"/>
        <v>1</v>
      </c>
      <c r="D65" s="45" t="str">
        <f t="shared" si="4"/>
        <v>20081</v>
      </c>
      <c r="E65" s="50"/>
      <c r="F65" s="53" t="s">
        <v>34</v>
      </c>
      <c r="G65" s="48">
        <f>VLOOKUP(D65,[2]Sheet1!$E$3:$F$321,2,0)</f>
        <v>18.940000000000001</v>
      </c>
      <c r="H65" s="49">
        <f>VLOOKUP(D65,[3]Sheet1!$E$3:$F$239,2,0)</f>
        <v>10859</v>
      </c>
      <c r="I65" s="44" t="s">
        <v>29</v>
      </c>
      <c r="J65" s="48"/>
      <c r="K65" s="58" t="s">
        <v>30</v>
      </c>
      <c r="L65" s="44" t="str">
        <f t="shared" si="5"/>
        <v>紧货币-宽信用</v>
      </c>
      <c r="M65" s="64" t="str">
        <f t="shared" si="3"/>
        <v>过热</v>
      </c>
      <c r="N65" s="64" t="s">
        <v>35</v>
      </c>
      <c r="O65" s="97"/>
      <c r="P65" s="97"/>
      <c r="Q65" s="97"/>
      <c r="R65" s="97"/>
    </row>
    <row r="66" spans="1:18" ht="56">
      <c r="A66" s="45">
        <v>39479</v>
      </c>
      <c r="B66" s="46">
        <f t="shared" si="0"/>
        <v>2008</v>
      </c>
      <c r="C66" s="46">
        <f t="shared" si="1"/>
        <v>2</v>
      </c>
      <c r="D66" s="45" t="str">
        <f t="shared" si="4"/>
        <v>20082</v>
      </c>
      <c r="E66" s="50"/>
      <c r="F66" s="53" t="s">
        <v>34</v>
      </c>
      <c r="G66" s="48">
        <f>VLOOKUP(D66,[2]Sheet1!$E$3:$F$321,2,0)</f>
        <v>17.48</v>
      </c>
      <c r="H66" s="49">
        <f>VLOOKUP(D66,[3]Sheet1!$E$3:$F$239,2,0)</f>
        <v>4731</v>
      </c>
      <c r="I66" s="44" t="s">
        <v>29</v>
      </c>
      <c r="J66" s="48" t="s">
        <v>44</v>
      </c>
      <c r="K66" s="58" t="s">
        <v>30</v>
      </c>
      <c r="L66" s="44" t="str">
        <f t="shared" si="5"/>
        <v>紧货币-宽信用</v>
      </c>
      <c r="M66" s="64" t="str">
        <f t="shared" si="3"/>
        <v>过热</v>
      </c>
      <c r="N66" s="64" t="s">
        <v>35</v>
      </c>
      <c r="O66" s="97"/>
      <c r="P66" s="97"/>
      <c r="Q66" s="97"/>
      <c r="R66" s="97"/>
    </row>
    <row r="67" spans="1:18" ht="14">
      <c r="A67" s="45">
        <v>39508</v>
      </c>
      <c r="B67" s="46">
        <f t="shared" si="0"/>
        <v>2008</v>
      </c>
      <c r="C67" s="46">
        <f t="shared" si="1"/>
        <v>3</v>
      </c>
      <c r="D67" s="45" t="str">
        <f t="shared" si="4"/>
        <v>20083</v>
      </c>
      <c r="E67" s="50"/>
      <c r="F67" s="53" t="s">
        <v>34</v>
      </c>
      <c r="G67" s="48">
        <f>VLOOKUP(D67,[2]Sheet1!$E$3:$F$321,2,0)</f>
        <v>16.29</v>
      </c>
      <c r="H67" s="49">
        <f>VLOOKUP(D67,[3]Sheet1!$E$3:$F$239,2,0)</f>
        <v>6391</v>
      </c>
      <c r="I67" s="44" t="s">
        <v>29</v>
      </c>
      <c r="J67" s="48"/>
      <c r="K67" s="65" t="s">
        <v>37</v>
      </c>
      <c r="L67" s="44" t="str">
        <f t="shared" si="5"/>
        <v>紧货币-紧信用</v>
      </c>
      <c r="M67" s="60" t="str">
        <f t="shared" si="3"/>
        <v>滞涨</v>
      </c>
      <c r="N67" s="60" t="s">
        <v>38</v>
      </c>
      <c r="O67" s="97"/>
      <c r="P67" s="97"/>
      <c r="Q67" s="97"/>
      <c r="R67" s="97"/>
    </row>
    <row r="68" spans="1:18" ht="14">
      <c r="A68" s="45">
        <v>39539</v>
      </c>
      <c r="B68" s="46">
        <f t="shared" si="0"/>
        <v>2008</v>
      </c>
      <c r="C68" s="46">
        <f t="shared" si="1"/>
        <v>4</v>
      </c>
      <c r="D68" s="45" t="str">
        <f t="shared" si="4"/>
        <v>20084</v>
      </c>
      <c r="E68" s="50"/>
      <c r="F68" s="53" t="s">
        <v>34</v>
      </c>
      <c r="G68" s="48">
        <f>VLOOKUP(D68,[2]Sheet1!$E$3:$F$321,2,0)</f>
        <v>16.940000000000001</v>
      </c>
      <c r="H68" s="49">
        <f>VLOOKUP(D68,[3]Sheet1!$E$3:$F$239,2,0)</f>
        <v>7076</v>
      </c>
      <c r="I68" s="44" t="s">
        <v>29</v>
      </c>
      <c r="J68" s="48"/>
      <c r="K68" s="65" t="s">
        <v>37</v>
      </c>
      <c r="L68" s="44" t="str">
        <f t="shared" si="5"/>
        <v>紧货币-紧信用</v>
      </c>
      <c r="M68" s="60" t="str">
        <f t="shared" si="3"/>
        <v>滞涨</v>
      </c>
      <c r="N68" s="60" t="s">
        <v>38</v>
      </c>
      <c r="O68" s="97"/>
      <c r="P68" s="97"/>
      <c r="Q68" s="97"/>
      <c r="R68" s="97"/>
    </row>
    <row r="69" spans="1:18" ht="14">
      <c r="A69" s="45">
        <v>39569</v>
      </c>
      <c r="B69" s="46">
        <f t="shared" ref="B69:B132" si="6">YEAR(A69)</f>
        <v>2008</v>
      </c>
      <c r="C69" s="46">
        <f t="shared" ref="C69:C132" si="7">MONTH(A69)</f>
        <v>5</v>
      </c>
      <c r="D69" s="45" t="str">
        <f t="shared" si="4"/>
        <v>20085</v>
      </c>
      <c r="E69" s="50"/>
      <c r="F69" s="53" t="s">
        <v>34</v>
      </c>
      <c r="G69" s="48">
        <f>VLOOKUP(D69,[2]Sheet1!$E$3:$F$321,2,0)</f>
        <v>18.07</v>
      </c>
      <c r="H69" s="49">
        <f>VLOOKUP(D69,[3]Sheet1!$E$3:$F$239,2,0)</f>
        <v>5678</v>
      </c>
      <c r="I69" s="44" t="s">
        <v>29</v>
      </c>
      <c r="J69" s="48"/>
      <c r="K69" s="65" t="s">
        <v>37</v>
      </c>
      <c r="L69" s="44" t="str">
        <f t="shared" si="5"/>
        <v>紧货币-紧信用</v>
      </c>
      <c r="M69" s="60" t="str">
        <f t="shared" ref="M69:M132" si="8">_xlfn.IFS(L69="宽货币-宽信用","复苏",L69="紧货币-宽信用","过热",L69="紧货币-紧信用","滞涨",L69="宽货币-紧信用","萧条")</f>
        <v>滞涨</v>
      </c>
      <c r="N69" s="60" t="s">
        <v>38</v>
      </c>
      <c r="O69" s="97"/>
      <c r="P69" s="97"/>
      <c r="Q69" s="97"/>
      <c r="R69" s="97"/>
    </row>
    <row r="70" spans="1:18" ht="14">
      <c r="A70" s="45">
        <v>39600</v>
      </c>
      <c r="B70" s="46">
        <f t="shared" si="6"/>
        <v>2008</v>
      </c>
      <c r="C70" s="46">
        <f t="shared" si="7"/>
        <v>6</v>
      </c>
      <c r="D70" s="45" t="str">
        <f t="shared" ref="D70:D133" si="9">B70&amp;C70</f>
        <v>20086</v>
      </c>
      <c r="E70" s="50"/>
      <c r="F70" s="53" t="s">
        <v>34</v>
      </c>
      <c r="G70" s="48">
        <f>VLOOKUP(D70,[2]Sheet1!$E$3:$F$321,2,0)</f>
        <v>17.37</v>
      </c>
      <c r="H70" s="49">
        <f>VLOOKUP(D70,[3]Sheet1!$E$3:$F$239,2,0)</f>
        <v>5976</v>
      </c>
      <c r="I70" s="44" t="s">
        <v>29</v>
      </c>
      <c r="J70" s="48"/>
      <c r="K70" s="65" t="s">
        <v>37</v>
      </c>
      <c r="L70" s="44" t="str">
        <f t="shared" si="5"/>
        <v>紧货币-紧信用</v>
      </c>
      <c r="M70" s="60" t="str">
        <f t="shared" si="8"/>
        <v>滞涨</v>
      </c>
      <c r="N70" s="60" t="s">
        <v>38</v>
      </c>
      <c r="O70" s="97"/>
      <c r="P70" s="97"/>
      <c r="Q70" s="97"/>
      <c r="R70" s="97"/>
    </row>
    <row r="71" spans="1:18" ht="14">
      <c r="A71" s="45">
        <v>39630</v>
      </c>
      <c r="B71" s="46">
        <f t="shared" si="6"/>
        <v>2008</v>
      </c>
      <c r="C71" s="46">
        <f t="shared" si="7"/>
        <v>7</v>
      </c>
      <c r="D71" s="45" t="str">
        <f t="shared" si="9"/>
        <v>20087</v>
      </c>
      <c r="E71" s="50"/>
      <c r="F71" s="53" t="s">
        <v>34</v>
      </c>
      <c r="G71" s="48">
        <f>VLOOKUP(D71,[2]Sheet1!$E$3:$F$321,2,0)</f>
        <v>16.350000000000001</v>
      </c>
      <c r="H71" s="49">
        <f>VLOOKUP(D71,[3]Sheet1!$E$3:$F$239,2,0)</f>
        <v>4890</v>
      </c>
      <c r="I71" s="44" t="s">
        <v>29</v>
      </c>
      <c r="J71" s="48"/>
      <c r="K71" s="65" t="s">
        <v>37</v>
      </c>
      <c r="L71" s="44" t="str">
        <f t="shared" si="5"/>
        <v>紧货币-紧信用</v>
      </c>
      <c r="M71" s="60" t="str">
        <f t="shared" si="8"/>
        <v>滞涨</v>
      </c>
      <c r="N71" s="60" t="s">
        <v>38</v>
      </c>
      <c r="O71" s="97"/>
      <c r="P71" s="97"/>
      <c r="Q71" s="97"/>
      <c r="R71" s="97"/>
    </row>
    <row r="72" spans="1:18" ht="14">
      <c r="A72" s="45">
        <v>39661</v>
      </c>
      <c r="B72" s="46">
        <f t="shared" si="6"/>
        <v>2008</v>
      </c>
      <c r="C72" s="46">
        <f t="shared" si="7"/>
        <v>8</v>
      </c>
      <c r="D72" s="45" t="str">
        <f t="shared" si="9"/>
        <v>20088</v>
      </c>
      <c r="E72" s="54"/>
      <c r="F72" s="53" t="s">
        <v>34</v>
      </c>
      <c r="G72" s="48">
        <f>VLOOKUP(D72,[2]Sheet1!$E$3:$F$321,2,0)</f>
        <v>16</v>
      </c>
      <c r="H72" s="49">
        <f>VLOOKUP(D72,[3]Sheet1!$E$3:$F$239,2,0)</f>
        <v>4575</v>
      </c>
      <c r="I72" s="44" t="s">
        <v>29</v>
      </c>
      <c r="J72" s="48"/>
      <c r="K72" s="65" t="s">
        <v>37</v>
      </c>
      <c r="L72" s="44" t="str">
        <f t="shared" si="5"/>
        <v>紧货币-紧信用</v>
      </c>
      <c r="M72" s="60" t="str">
        <f t="shared" si="8"/>
        <v>滞涨</v>
      </c>
      <c r="N72" s="60" t="s">
        <v>38</v>
      </c>
      <c r="O72" s="97"/>
      <c r="P72" s="97"/>
      <c r="Q72" s="97"/>
      <c r="R72" s="97"/>
    </row>
    <row r="73" spans="1:18" ht="36" customHeight="1">
      <c r="A73" s="51">
        <v>39692</v>
      </c>
      <c r="B73" s="46">
        <f t="shared" si="6"/>
        <v>2008</v>
      </c>
      <c r="C73" s="46">
        <f t="shared" si="7"/>
        <v>9</v>
      </c>
      <c r="D73" s="45" t="str">
        <f t="shared" si="9"/>
        <v>20089</v>
      </c>
      <c r="E73" s="55" t="s">
        <v>45</v>
      </c>
      <c r="F73" s="53" t="s">
        <v>34</v>
      </c>
      <c r="G73" s="48">
        <f>VLOOKUP(D73,[2]Sheet1!$E$3:$F$321,2,0)</f>
        <v>15.29</v>
      </c>
      <c r="H73" s="49">
        <f>VLOOKUP(D73,[3]Sheet1!$E$3:$F$239,2,0)</f>
        <v>5659</v>
      </c>
      <c r="I73" s="44" t="s">
        <v>29</v>
      </c>
      <c r="J73" s="48"/>
      <c r="K73" s="65" t="s">
        <v>37</v>
      </c>
      <c r="L73" s="44" t="str">
        <f t="shared" si="5"/>
        <v>紧货币-紧信用</v>
      </c>
      <c r="M73" s="60" t="str">
        <f t="shared" si="8"/>
        <v>滞涨</v>
      </c>
      <c r="N73" s="60" t="s">
        <v>38</v>
      </c>
      <c r="O73" s="97"/>
      <c r="P73" s="97"/>
      <c r="Q73" s="97"/>
      <c r="R73" s="97"/>
    </row>
    <row r="74" spans="1:18" ht="15">
      <c r="A74" s="45">
        <v>39722</v>
      </c>
      <c r="B74" s="46">
        <f t="shared" si="6"/>
        <v>2008</v>
      </c>
      <c r="C74" s="46">
        <f t="shared" si="7"/>
        <v>10</v>
      </c>
      <c r="D74" s="45" t="str">
        <f t="shared" si="9"/>
        <v>200810</v>
      </c>
      <c r="E74" s="52" t="s">
        <v>46</v>
      </c>
      <c r="F74" s="47" t="s">
        <v>28</v>
      </c>
      <c r="G74" s="48">
        <f>VLOOKUP(D74,[2]Sheet1!$E$3:$F$321,2,0)</f>
        <v>15.02</v>
      </c>
      <c r="H74" s="49">
        <f>VLOOKUP(D74,[3]Sheet1!$E$3:$F$239,2,0)</f>
        <v>1288</v>
      </c>
      <c r="I74" s="44" t="s">
        <v>29</v>
      </c>
      <c r="J74" s="48"/>
      <c r="K74" s="65" t="s">
        <v>37</v>
      </c>
      <c r="L74" s="44" t="str">
        <f t="shared" si="5"/>
        <v>宽货币-紧信用</v>
      </c>
      <c r="M74" s="63" t="str">
        <f t="shared" si="8"/>
        <v>萧条</v>
      </c>
      <c r="N74" s="63" t="s">
        <v>40</v>
      </c>
      <c r="O74" s="97"/>
      <c r="P74" s="97"/>
      <c r="Q74" s="97"/>
      <c r="R74" s="97"/>
    </row>
    <row r="75" spans="1:18" ht="14">
      <c r="A75" s="45">
        <v>39753</v>
      </c>
      <c r="B75" s="46">
        <f t="shared" si="6"/>
        <v>2008</v>
      </c>
      <c r="C75" s="46">
        <f t="shared" si="7"/>
        <v>11</v>
      </c>
      <c r="D75" s="45" t="str">
        <f t="shared" si="9"/>
        <v>200811</v>
      </c>
      <c r="E75" s="50"/>
      <c r="F75" s="47" t="s">
        <v>28</v>
      </c>
      <c r="G75" s="48">
        <f>VLOOKUP(D75,[2]Sheet1!$E$3:$F$321,2,0)</f>
        <v>14.8</v>
      </c>
      <c r="H75" s="49">
        <f>VLOOKUP(D75,[3]Sheet1!$E$3:$F$239,2,0)</f>
        <v>4517</v>
      </c>
      <c r="I75" s="44" t="s">
        <v>29</v>
      </c>
      <c r="J75" s="48"/>
      <c r="K75" s="65" t="s">
        <v>37</v>
      </c>
      <c r="L75" s="44" t="str">
        <f t="shared" si="5"/>
        <v>宽货币-紧信用</v>
      </c>
      <c r="M75" s="63" t="str">
        <f t="shared" si="8"/>
        <v>萧条</v>
      </c>
      <c r="N75" s="63" t="s">
        <v>40</v>
      </c>
      <c r="O75" s="97"/>
      <c r="P75" s="97"/>
      <c r="Q75" s="97"/>
      <c r="R75" s="97"/>
    </row>
    <row r="76" spans="1:18" ht="56">
      <c r="A76" s="45">
        <v>39783</v>
      </c>
      <c r="B76" s="46">
        <f t="shared" si="6"/>
        <v>2008</v>
      </c>
      <c r="C76" s="46">
        <f t="shared" si="7"/>
        <v>12</v>
      </c>
      <c r="D76" s="45" t="str">
        <f t="shared" si="9"/>
        <v>200812</v>
      </c>
      <c r="E76" s="50"/>
      <c r="F76" s="47" t="s">
        <v>28</v>
      </c>
      <c r="G76" s="48">
        <f>VLOOKUP(D76,[2]Sheet1!$E$3:$F$321,2,0)</f>
        <v>17.82</v>
      </c>
      <c r="H76" s="49">
        <f>VLOOKUP(D76,[3]Sheet1!$E$3:$F$239,2,0)</f>
        <v>8164</v>
      </c>
      <c r="I76" s="44">
        <v>20.5</v>
      </c>
      <c r="J76" s="48" t="s">
        <v>47</v>
      </c>
      <c r="K76" s="65" t="s">
        <v>37</v>
      </c>
      <c r="L76" s="44" t="str">
        <f t="shared" ref="L76:L139" si="10">F76&amp;K76</f>
        <v>宽货币-紧信用</v>
      </c>
      <c r="M76" s="63" t="str">
        <f t="shared" si="8"/>
        <v>萧条</v>
      </c>
      <c r="N76" s="63" t="s">
        <v>40</v>
      </c>
      <c r="O76" s="97"/>
      <c r="P76" s="97"/>
      <c r="Q76" s="97"/>
      <c r="R76" s="97"/>
    </row>
    <row r="77" spans="1:18" ht="14">
      <c r="A77" s="45">
        <v>39814</v>
      </c>
      <c r="B77" s="46">
        <f t="shared" si="6"/>
        <v>2009</v>
      </c>
      <c r="C77" s="46">
        <f t="shared" si="7"/>
        <v>1</v>
      </c>
      <c r="D77" s="45" t="str">
        <f t="shared" si="9"/>
        <v>20091</v>
      </c>
      <c r="E77" s="50"/>
      <c r="F77" s="47" t="s">
        <v>28</v>
      </c>
      <c r="G77" s="48">
        <f>VLOOKUP(D77,[2]Sheet1!$E$3:$F$321,2,0)</f>
        <v>18.79</v>
      </c>
      <c r="H77" s="49">
        <f>VLOOKUP(D77,[3]Sheet1!$E$3:$F$239,2,0)</f>
        <v>13990</v>
      </c>
      <c r="I77" s="44" t="s">
        <v>29</v>
      </c>
      <c r="J77" s="48"/>
      <c r="K77" s="58" t="s">
        <v>30</v>
      </c>
      <c r="L77" s="44" t="str">
        <f t="shared" si="10"/>
        <v>宽货币-宽信用</v>
      </c>
      <c r="M77" s="63" t="str">
        <f t="shared" si="8"/>
        <v>复苏</v>
      </c>
      <c r="N77" s="63" t="s">
        <v>31</v>
      </c>
      <c r="O77" s="97"/>
      <c r="P77" s="97"/>
      <c r="Q77" s="97"/>
      <c r="R77" s="97"/>
    </row>
    <row r="78" spans="1:18" ht="14">
      <c r="A78" s="45">
        <v>39845</v>
      </c>
      <c r="B78" s="46">
        <f t="shared" si="6"/>
        <v>2009</v>
      </c>
      <c r="C78" s="46">
        <f t="shared" si="7"/>
        <v>2</v>
      </c>
      <c r="D78" s="45" t="str">
        <f t="shared" si="9"/>
        <v>20092</v>
      </c>
      <c r="E78" s="50"/>
      <c r="F78" s="47" t="s">
        <v>28</v>
      </c>
      <c r="G78" s="48">
        <f>VLOOKUP(D78,[2]Sheet1!$E$3:$F$321,2,0)</f>
        <v>20.48</v>
      </c>
      <c r="H78" s="49">
        <f>VLOOKUP(D78,[3]Sheet1!$E$3:$F$239,2,0)</f>
        <v>11131</v>
      </c>
      <c r="I78" s="44" t="s">
        <v>29</v>
      </c>
      <c r="J78" s="48"/>
      <c r="K78" s="58" t="s">
        <v>30</v>
      </c>
      <c r="L78" s="44" t="str">
        <f t="shared" si="10"/>
        <v>宽货币-宽信用</v>
      </c>
      <c r="M78" s="63" t="str">
        <f t="shared" si="8"/>
        <v>复苏</v>
      </c>
      <c r="N78" s="63" t="s">
        <v>31</v>
      </c>
      <c r="O78" s="97"/>
      <c r="P78" s="97"/>
      <c r="Q78" s="97"/>
      <c r="R78" s="97"/>
    </row>
    <row r="79" spans="1:18" ht="14">
      <c r="A79" s="45">
        <v>39873</v>
      </c>
      <c r="B79" s="46">
        <f t="shared" si="6"/>
        <v>2009</v>
      </c>
      <c r="C79" s="46">
        <f t="shared" si="7"/>
        <v>3</v>
      </c>
      <c r="D79" s="45" t="str">
        <f t="shared" si="9"/>
        <v>20093</v>
      </c>
      <c r="E79" s="50"/>
      <c r="F79" s="47" t="s">
        <v>28</v>
      </c>
      <c r="G79" s="48">
        <f>VLOOKUP(D79,[2]Sheet1!$E$3:$F$321,2,0)</f>
        <v>25.51</v>
      </c>
      <c r="H79" s="49">
        <f>VLOOKUP(D79,[3]Sheet1!$E$3:$F$239,2,0)</f>
        <v>22011</v>
      </c>
      <c r="I79" s="44" t="s">
        <v>29</v>
      </c>
      <c r="J79" s="48"/>
      <c r="K79" s="58" t="s">
        <v>30</v>
      </c>
      <c r="L79" s="44" t="str">
        <f t="shared" si="10"/>
        <v>宽货币-宽信用</v>
      </c>
      <c r="M79" s="63" t="str">
        <f t="shared" si="8"/>
        <v>复苏</v>
      </c>
      <c r="N79" s="63" t="s">
        <v>31</v>
      </c>
      <c r="O79" s="97"/>
      <c r="P79" s="97"/>
      <c r="Q79" s="97"/>
      <c r="R79" s="97"/>
    </row>
    <row r="80" spans="1:18" ht="14">
      <c r="A80" s="45">
        <v>39904</v>
      </c>
      <c r="B80" s="46">
        <f t="shared" si="6"/>
        <v>2009</v>
      </c>
      <c r="C80" s="46">
        <f t="shared" si="7"/>
        <v>4</v>
      </c>
      <c r="D80" s="45" t="str">
        <f t="shared" si="9"/>
        <v>20094</v>
      </c>
      <c r="E80" s="50"/>
      <c r="F80" s="47" t="s">
        <v>28</v>
      </c>
      <c r="G80" s="48">
        <f>VLOOKUP(D80,[2]Sheet1!$E$3:$F$321,2,0)</f>
        <v>25.89</v>
      </c>
      <c r="H80" s="49">
        <f>VLOOKUP(D80,[3]Sheet1!$E$3:$F$239,2,0)</f>
        <v>5452</v>
      </c>
      <c r="I80" s="44" t="s">
        <v>29</v>
      </c>
      <c r="J80" s="48"/>
      <c r="K80" s="58" t="s">
        <v>30</v>
      </c>
      <c r="L80" s="44" t="str">
        <f t="shared" si="10"/>
        <v>宽货币-宽信用</v>
      </c>
      <c r="M80" s="63" t="str">
        <f t="shared" si="8"/>
        <v>复苏</v>
      </c>
      <c r="N80" s="63" t="s">
        <v>31</v>
      </c>
      <c r="O80" s="97"/>
      <c r="P80" s="97"/>
      <c r="Q80" s="97"/>
      <c r="R80" s="97"/>
    </row>
    <row r="81" spans="1:18" ht="14">
      <c r="A81" s="45">
        <v>39934</v>
      </c>
      <c r="B81" s="46">
        <f t="shared" si="6"/>
        <v>2009</v>
      </c>
      <c r="C81" s="46">
        <f t="shared" si="7"/>
        <v>5</v>
      </c>
      <c r="D81" s="45" t="str">
        <f t="shared" si="9"/>
        <v>20095</v>
      </c>
      <c r="E81" s="50"/>
      <c r="F81" s="47" t="s">
        <v>28</v>
      </c>
      <c r="G81" s="48">
        <f>VLOOKUP(D81,[2]Sheet1!$E$3:$F$321,2,0)</f>
        <v>25.74</v>
      </c>
      <c r="H81" s="49">
        <f>VLOOKUP(D81,[3]Sheet1!$E$3:$F$239,2,0)</f>
        <v>14959</v>
      </c>
      <c r="I81" s="44" t="s">
        <v>29</v>
      </c>
      <c r="J81" s="48"/>
      <c r="K81" s="58" t="s">
        <v>30</v>
      </c>
      <c r="L81" s="44" t="str">
        <f t="shared" si="10"/>
        <v>宽货币-宽信用</v>
      </c>
      <c r="M81" s="63" t="str">
        <f t="shared" si="8"/>
        <v>复苏</v>
      </c>
      <c r="N81" s="63" t="s">
        <v>31</v>
      </c>
      <c r="O81" s="97"/>
      <c r="P81" s="97"/>
      <c r="Q81" s="97"/>
      <c r="R81" s="97"/>
    </row>
    <row r="82" spans="1:18" ht="14">
      <c r="A82" s="45">
        <v>39965</v>
      </c>
      <c r="B82" s="46">
        <f t="shared" si="6"/>
        <v>2009</v>
      </c>
      <c r="C82" s="46">
        <f t="shared" si="7"/>
        <v>6</v>
      </c>
      <c r="D82" s="45" t="str">
        <f t="shared" si="9"/>
        <v>20096</v>
      </c>
      <c r="E82" s="50"/>
      <c r="F82" s="47" t="s">
        <v>28</v>
      </c>
      <c r="G82" s="48">
        <f>VLOOKUP(D82,[2]Sheet1!$E$3:$F$321,2,0)</f>
        <v>28.46</v>
      </c>
      <c r="H82" s="49">
        <f>VLOOKUP(D82,[3]Sheet1!$E$3:$F$239,2,0)</f>
        <v>21067</v>
      </c>
      <c r="I82" s="44" t="s">
        <v>29</v>
      </c>
      <c r="J82" s="48"/>
      <c r="K82" s="58" t="s">
        <v>30</v>
      </c>
      <c r="L82" s="44" t="str">
        <f t="shared" si="10"/>
        <v>宽货币-宽信用</v>
      </c>
      <c r="M82" s="63" t="str">
        <f t="shared" si="8"/>
        <v>复苏</v>
      </c>
      <c r="N82" s="63" t="s">
        <v>31</v>
      </c>
      <c r="O82" s="97"/>
      <c r="P82" s="97"/>
      <c r="Q82" s="97"/>
      <c r="R82" s="97"/>
    </row>
    <row r="83" spans="1:18" ht="56">
      <c r="A83" s="51">
        <v>39995</v>
      </c>
      <c r="B83" s="46">
        <f t="shared" si="6"/>
        <v>2009</v>
      </c>
      <c r="C83" s="46">
        <f t="shared" si="7"/>
        <v>7</v>
      </c>
      <c r="D83" s="45" t="str">
        <f t="shared" si="9"/>
        <v>20097</v>
      </c>
      <c r="E83" s="50" t="s">
        <v>48</v>
      </c>
      <c r="F83" s="47" t="s">
        <v>28</v>
      </c>
      <c r="G83" s="48">
        <f>VLOOKUP(D83,[2]Sheet1!$E$3:$F$321,2,0)</f>
        <v>28.42</v>
      </c>
      <c r="H83" s="49">
        <f>VLOOKUP(D83,[3]Sheet1!$E$3:$F$239,2,0)</f>
        <v>7388</v>
      </c>
      <c r="I83" s="44" t="s">
        <v>29</v>
      </c>
      <c r="J83" s="48"/>
      <c r="K83" s="58" t="s">
        <v>30</v>
      </c>
      <c r="L83" s="44" t="str">
        <f t="shared" si="10"/>
        <v>宽货币-宽信用</v>
      </c>
      <c r="M83" s="59" t="str">
        <f t="shared" si="8"/>
        <v>复苏</v>
      </c>
      <c r="N83" s="59" t="s">
        <v>31</v>
      </c>
      <c r="O83" s="97"/>
      <c r="P83" s="97"/>
      <c r="Q83" s="97"/>
      <c r="R83" s="97"/>
    </row>
    <row r="84" spans="1:18" ht="14">
      <c r="A84" s="45">
        <v>40026</v>
      </c>
      <c r="B84" s="46">
        <f t="shared" si="6"/>
        <v>2009</v>
      </c>
      <c r="C84" s="46">
        <f t="shared" si="7"/>
        <v>8</v>
      </c>
      <c r="D84" s="45" t="str">
        <f t="shared" si="9"/>
        <v>20098</v>
      </c>
      <c r="E84" s="50"/>
      <c r="F84" s="53" t="s">
        <v>34</v>
      </c>
      <c r="G84" s="48">
        <f>VLOOKUP(D84,[2]Sheet1!$E$3:$F$321,2,0)</f>
        <v>28.53</v>
      </c>
      <c r="H84" s="49">
        <f>VLOOKUP(D84,[3]Sheet1!$E$3:$F$239,2,0)</f>
        <v>7650</v>
      </c>
      <c r="I84" s="44" t="s">
        <v>29</v>
      </c>
      <c r="J84" s="48"/>
      <c r="K84" s="58" t="s">
        <v>30</v>
      </c>
      <c r="L84" s="44" t="str">
        <f t="shared" si="10"/>
        <v>紧货币-宽信用</v>
      </c>
      <c r="M84" s="64" t="str">
        <f t="shared" si="8"/>
        <v>过热</v>
      </c>
      <c r="N84" s="64" t="s">
        <v>35</v>
      </c>
      <c r="O84" s="97"/>
      <c r="P84" s="97"/>
      <c r="Q84" s="97"/>
      <c r="R84" s="97"/>
    </row>
    <row r="85" spans="1:18" ht="14">
      <c r="A85" s="45">
        <v>40057</v>
      </c>
      <c r="B85" s="46">
        <f t="shared" si="6"/>
        <v>2009</v>
      </c>
      <c r="C85" s="46">
        <f t="shared" si="7"/>
        <v>9</v>
      </c>
      <c r="D85" s="45" t="str">
        <f t="shared" si="9"/>
        <v>20099</v>
      </c>
      <c r="E85" s="50"/>
      <c r="F85" s="53" t="s">
        <v>34</v>
      </c>
      <c r="G85" s="48">
        <f>VLOOKUP(D85,[2]Sheet1!$E$3:$F$321,2,0)</f>
        <v>29.31</v>
      </c>
      <c r="H85" s="49">
        <f>VLOOKUP(D85,[3]Sheet1!$E$3:$F$239,2,0)</f>
        <v>11871</v>
      </c>
      <c r="I85" s="44" t="s">
        <v>29</v>
      </c>
      <c r="J85" s="48"/>
      <c r="K85" s="58" t="s">
        <v>30</v>
      </c>
      <c r="L85" s="44" t="str">
        <f t="shared" si="10"/>
        <v>紧货币-宽信用</v>
      </c>
      <c r="M85" s="64" t="str">
        <f t="shared" si="8"/>
        <v>过热</v>
      </c>
      <c r="N85" s="64" t="s">
        <v>35</v>
      </c>
      <c r="O85" s="97"/>
      <c r="P85" s="97"/>
      <c r="Q85" s="97"/>
      <c r="R85" s="97"/>
    </row>
    <row r="86" spans="1:18" ht="14">
      <c r="A86" s="45">
        <v>40087</v>
      </c>
      <c r="B86" s="46">
        <f t="shared" si="6"/>
        <v>2009</v>
      </c>
      <c r="C86" s="46">
        <f t="shared" si="7"/>
        <v>10</v>
      </c>
      <c r="D86" s="45" t="str">
        <f t="shared" si="9"/>
        <v>200910</v>
      </c>
      <c r="E86" s="50"/>
      <c r="F86" s="53" t="s">
        <v>34</v>
      </c>
      <c r="G86" s="48">
        <f>VLOOKUP(D86,[2]Sheet1!$E$3:$F$321,2,0)</f>
        <v>29.42</v>
      </c>
      <c r="H86" s="49">
        <f>VLOOKUP(D86,[3]Sheet1!$E$3:$F$239,2,0)</f>
        <v>5985</v>
      </c>
      <c r="I86" s="44" t="s">
        <v>29</v>
      </c>
      <c r="J86" s="48"/>
      <c r="K86" s="58" t="s">
        <v>30</v>
      </c>
      <c r="L86" s="44" t="str">
        <f t="shared" si="10"/>
        <v>紧货币-宽信用</v>
      </c>
      <c r="M86" s="64" t="str">
        <f t="shared" si="8"/>
        <v>过热</v>
      </c>
      <c r="N86" s="64" t="s">
        <v>35</v>
      </c>
      <c r="O86" s="97"/>
      <c r="P86" s="97"/>
      <c r="Q86" s="97"/>
      <c r="R86" s="97"/>
    </row>
    <row r="87" spans="1:18" ht="15">
      <c r="A87" s="45">
        <v>40118</v>
      </c>
      <c r="B87" s="46">
        <f t="shared" si="6"/>
        <v>2009</v>
      </c>
      <c r="C87" s="46">
        <f t="shared" si="7"/>
        <v>11</v>
      </c>
      <c r="D87" s="45" t="str">
        <f t="shared" si="9"/>
        <v>200911</v>
      </c>
      <c r="E87" s="52" t="s">
        <v>49</v>
      </c>
      <c r="F87" s="53" t="s">
        <v>34</v>
      </c>
      <c r="G87" s="48">
        <f>VLOOKUP(D87,[2]Sheet1!$E$3:$F$321,2,0)</f>
        <v>29.74</v>
      </c>
      <c r="H87" s="49">
        <f>VLOOKUP(D87,[3]Sheet1!$E$3:$F$239,2,0)</f>
        <v>9501</v>
      </c>
      <c r="I87" s="44" t="s">
        <v>29</v>
      </c>
      <c r="J87" s="48"/>
      <c r="K87" s="58" t="s">
        <v>30</v>
      </c>
      <c r="L87" s="44" t="str">
        <f t="shared" si="10"/>
        <v>紧货币-宽信用</v>
      </c>
      <c r="M87" s="64" t="str">
        <f t="shared" si="8"/>
        <v>过热</v>
      </c>
      <c r="N87" s="64" t="s">
        <v>35</v>
      </c>
      <c r="O87" s="97"/>
      <c r="P87" s="97"/>
      <c r="Q87" s="97"/>
      <c r="R87" s="97"/>
    </row>
    <row r="88" spans="1:18" ht="34" customHeight="1">
      <c r="A88" s="45">
        <v>40148</v>
      </c>
      <c r="B88" s="46">
        <f t="shared" si="6"/>
        <v>2009</v>
      </c>
      <c r="C88" s="46">
        <f t="shared" si="7"/>
        <v>12</v>
      </c>
      <c r="D88" s="45" t="str">
        <f t="shared" si="9"/>
        <v>200912</v>
      </c>
      <c r="E88" s="50"/>
      <c r="F88" s="53" t="s">
        <v>34</v>
      </c>
      <c r="G88" s="48">
        <f>VLOOKUP(D88,[2]Sheet1!$E$3:$F$321,2,0)</f>
        <v>27.68</v>
      </c>
      <c r="H88" s="49">
        <f>VLOOKUP(D88,[3]Sheet1!$E$3:$F$239,2,0)</f>
        <v>8100</v>
      </c>
      <c r="I88" s="44">
        <v>34.799999999999997</v>
      </c>
      <c r="J88" s="48" t="s">
        <v>50</v>
      </c>
      <c r="K88" s="58" t="s">
        <v>30</v>
      </c>
      <c r="L88" s="44" t="str">
        <f t="shared" si="10"/>
        <v>紧货币-宽信用</v>
      </c>
      <c r="M88" s="64" t="str">
        <f t="shared" si="8"/>
        <v>过热</v>
      </c>
      <c r="N88" s="64" t="s">
        <v>35</v>
      </c>
      <c r="O88" s="97"/>
      <c r="P88" s="97"/>
      <c r="Q88" s="97"/>
      <c r="R88" s="97"/>
    </row>
    <row r="89" spans="1:18" ht="15">
      <c r="A89" s="45">
        <v>40179</v>
      </c>
      <c r="B89" s="46">
        <f t="shared" si="6"/>
        <v>2010</v>
      </c>
      <c r="C89" s="46">
        <f t="shared" si="7"/>
        <v>1</v>
      </c>
      <c r="D89" s="45" t="str">
        <f t="shared" si="9"/>
        <v>20101</v>
      </c>
      <c r="E89" s="52" t="s">
        <v>51</v>
      </c>
      <c r="F89" s="53" t="s">
        <v>34</v>
      </c>
      <c r="G89" s="48">
        <f>VLOOKUP(D89,[2]Sheet1!$E$3:$F$321,2,0)</f>
        <v>25.98</v>
      </c>
      <c r="H89" s="49">
        <f>VLOOKUP(D89,[3]Sheet1!$E$3:$F$239,2,0)</f>
        <v>20550</v>
      </c>
      <c r="I89" s="44" t="s">
        <v>29</v>
      </c>
      <c r="J89" s="48"/>
      <c r="K89" s="65" t="s">
        <v>37</v>
      </c>
      <c r="L89" s="44" t="str">
        <f t="shared" si="10"/>
        <v>紧货币-紧信用</v>
      </c>
      <c r="M89" s="60" t="str">
        <f t="shared" si="8"/>
        <v>滞涨</v>
      </c>
      <c r="N89" s="60" t="s">
        <v>38</v>
      </c>
      <c r="O89" s="97"/>
      <c r="P89" s="97"/>
      <c r="Q89" s="97"/>
      <c r="R89" s="97"/>
    </row>
    <row r="90" spans="1:18" ht="14">
      <c r="A90" s="45">
        <v>40210</v>
      </c>
      <c r="B90" s="46">
        <f t="shared" si="6"/>
        <v>2010</v>
      </c>
      <c r="C90" s="46">
        <f t="shared" si="7"/>
        <v>2</v>
      </c>
      <c r="D90" s="45" t="str">
        <f t="shared" si="9"/>
        <v>20102</v>
      </c>
      <c r="E90" s="50"/>
      <c r="F90" s="53" t="s">
        <v>34</v>
      </c>
      <c r="G90" s="48">
        <f>VLOOKUP(D90,[2]Sheet1!$E$3:$F$321,2,0)</f>
        <v>25.52</v>
      </c>
      <c r="H90" s="49">
        <f>VLOOKUP(D90,[3]Sheet1!$E$3:$F$239,2,0)</f>
        <v>10877</v>
      </c>
      <c r="I90" s="44" t="s">
        <v>29</v>
      </c>
      <c r="J90" s="48"/>
      <c r="K90" s="65" t="s">
        <v>37</v>
      </c>
      <c r="L90" s="44" t="str">
        <f t="shared" si="10"/>
        <v>紧货币-紧信用</v>
      </c>
      <c r="M90" s="60" t="str">
        <f t="shared" si="8"/>
        <v>滞涨</v>
      </c>
      <c r="N90" s="60" t="s">
        <v>38</v>
      </c>
      <c r="O90" s="97"/>
      <c r="P90" s="97"/>
      <c r="Q90" s="97"/>
      <c r="R90" s="97"/>
    </row>
    <row r="91" spans="1:18" ht="14">
      <c r="A91" s="45">
        <v>40238</v>
      </c>
      <c r="B91" s="46">
        <f t="shared" si="6"/>
        <v>2010</v>
      </c>
      <c r="C91" s="46">
        <f t="shared" si="7"/>
        <v>3</v>
      </c>
      <c r="D91" s="45" t="str">
        <f t="shared" si="9"/>
        <v>20103</v>
      </c>
      <c r="E91" s="50"/>
      <c r="F91" s="53" t="s">
        <v>34</v>
      </c>
      <c r="G91" s="48">
        <f>VLOOKUP(D91,[2]Sheet1!$E$3:$F$321,2,0)</f>
        <v>22.5</v>
      </c>
      <c r="H91" s="49">
        <f>VLOOKUP(D91,[3]Sheet1!$E$3:$F$239,2,0)</f>
        <v>13830</v>
      </c>
      <c r="I91" s="44" t="s">
        <v>29</v>
      </c>
      <c r="K91" s="65" t="s">
        <v>37</v>
      </c>
      <c r="L91" s="44" t="str">
        <f t="shared" si="10"/>
        <v>紧货币-紧信用</v>
      </c>
      <c r="M91" s="60" t="str">
        <f t="shared" si="8"/>
        <v>滞涨</v>
      </c>
      <c r="N91" s="60" t="s">
        <v>38</v>
      </c>
      <c r="O91" s="97"/>
      <c r="P91" s="97"/>
      <c r="Q91" s="97"/>
      <c r="R91" s="97"/>
    </row>
    <row r="92" spans="1:18" ht="14">
      <c r="A92" s="45">
        <v>40269</v>
      </c>
      <c r="B92" s="46">
        <f t="shared" si="6"/>
        <v>2010</v>
      </c>
      <c r="C92" s="46">
        <f t="shared" si="7"/>
        <v>4</v>
      </c>
      <c r="D92" s="45" t="str">
        <f t="shared" si="9"/>
        <v>20104</v>
      </c>
      <c r="E92" s="50"/>
      <c r="F92" s="53" t="s">
        <v>34</v>
      </c>
      <c r="G92" s="48">
        <f>VLOOKUP(D92,[2]Sheet1!$E$3:$F$321,2,0)</f>
        <v>21.48</v>
      </c>
      <c r="H92" s="49">
        <f>VLOOKUP(D92,[3]Sheet1!$E$3:$F$239,2,0)</f>
        <v>14919</v>
      </c>
      <c r="I92" s="44" t="s">
        <v>29</v>
      </c>
      <c r="J92" s="48"/>
      <c r="K92" s="65" t="s">
        <v>37</v>
      </c>
      <c r="L92" s="44" t="str">
        <f t="shared" si="10"/>
        <v>紧货币-紧信用</v>
      </c>
      <c r="M92" s="60" t="str">
        <f t="shared" si="8"/>
        <v>滞涨</v>
      </c>
      <c r="N92" s="60" t="s">
        <v>38</v>
      </c>
      <c r="O92" s="97"/>
      <c r="P92" s="97"/>
      <c r="Q92" s="97"/>
      <c r="R92" s="97"/>
    </row>
    <row r="93" spans="1:18" ht="14">
      <c r="A93" s="45">
        <v>40299</v>
      </c>
      <c r="B93" s="46">
        <f t="shared" si="6"/>
        <v>2010</v>
      </c>
      <c r="C93" s="46">
        <f t="shared" si="7"/>
        <v>5</v>
      </c>
      <c r="D93" s="45" t="str">
        <f t="shared" si="9"/>
        <v>20105</v>
      </c>
      <c r="E93" s="50"/>
      <c r="F93" s="53" t="s">
        <v>34</v>
      </c>
      <c r="G93" s="48">
        <f>VLOOKUP(D93,[2]Sheet1!$E$3:$F$321,2,0)</f>
        <v>21</v>
      </c>
      <c r="H93" s="49">
        <f>VLOOKUP(D93,[3]Sheet1!$E$3:$F$239,2,0)</f>
        <v>10805</v>
      </c>
      <c r="I93" s="44" t="s">
        <v>29</v>
      </c>
      <c r="J93" s="48"/>
      <c r="K93" s="65" t="s">
        <v>37</v>
      </c>
      <c r="L93" s="44" t="str">
        <f t="shared" si="10"/>
        <v>紧货币-紧信用</v>
      </c>
      <c r="M93" s="60" t="str">
        <f t="shared" si="8"/>
        <v>滞涨</v>
      </c>
      <c r="N93" s="60" t="s">
        <v>38</v>
      </c>
      <c r="O93" s="97"/>
      <c r="P93" s="97"/>
      <c r="Q93" s="97"/>
      <c r="R93" s="97"/>
    </row>
    <row r="94" spans="1:18" ht="72" customHeight="1">
      <c r="A94" s="45">
        <v>40330</v>
      </c>
      <c r="B94" s="46">
        <f t="shared" si="6"/>
        <v>2010</v>
      </c>
      <c r="C94" s="46">
        <f t="shared" si="7"/>
        <v>6</v>
      </c>
      <c r="D94" s="45" t="str">
        <f t="shared" si="9"/>
        <v>20106</v>
      </c>
      <c r="E94" s="50"/>
      <c r="F94" s="53" t="s">
        <v>34</v>
      </c>
      <c r="G94" s="48">
        <f>VLOOKUP(D94,[2]Sheet1!$E$3:$F$321,2,0)</f>
        <v>18.46</v>
      </c>
      <c r="H94" s="49">
        <f>VLOOKUP(D94,[3]Sheet1!$E$3:$F$239,2,0)</f>
        <v>10196</v>
      </c>
      <c r="I94" s="44" t="s">
        <v>29</v>
      </c>
      <c r="J94" s="48" t="s">
        <v>52</v>
      </c>
      <c r="K94" s="65" t="s">
        <v>37</v>
      </c>
      <c r="L94" s="44" t="str">
        <f t="shared" si="10"/>
        <v>紧货币-紧信用</v>
      </c>
      <c r="M94" s="60" t="str">
        <f t="shared" si="8"/>
        <v>滞涨</v>
      </c>
      <c r="N94" s="60" t="s">
        <v>38</v>
      </c>
      <c r="O94" s="97"/>
      <c r="P94" s="97"/>
      <c r="Q94" s="97"/>
      <c r="R94" s="97"/>
    </row>
    <row r="95" spans="1:18" ht="14">
      <c r="A95" s="45">
        <v>40360</v>
      </c>
      <c r="B95" s="46">
        <f t="shared" si="6"/>
        <v>2010</v>
      </c>
      <c r="C95" s="46">
        <f t="shared" si="7"/>
        <v>7</v>
      </c>
      <c r="D95" s="45" t="str">
        <f t="shared" si="9"/>
        <v>20107</v>
      </c>
      <c r="E95" s="50"/>
      <c r="F95" s="53" t="s">
        <v>34</v>
      </c>
      <c r="G95" s="48">
        <f>VLOOKUP(D95,[2]Sheet1!$E$3:$F$321,2,0)</f>
        <v>17.600000000000001</v>
      </c>
      <c r="H95" s="49">
        <f>VLOOKUP(D95,[3]Sheet1!$E$3:$F$239,2,0)</f>
        <v>7202</v>
      </c>
      <c r="I95" s="44" t="s">
        <v>29</v>
      </c>
      <c r="J95" s="48"/>
      <c r="K95" s="58" t="s">
        <v>30</v>
      </c>
      <c r="L95" s="44" t="str">
        <f t="shared" si="10"/>
        <v>紧货币-宽信用</v>
      </c>
      <c r="M95" s="60" t="str">
        <f t="shared" si="8"/>
        <v>过热</v>
      </c>
      <c r="N95" s="60" t="s">
        <v>35</v>
      </c>
      <c r="O95" s="97"/>
      <c r="P95" s="97"/>
      <c r="Q95" s="97"/>
      <c r="R95" s="97"/>
    </row>
    <row r="96" spans="1:18" ht="14">
      <c r="A96" s="45">
        <v>40391</v>
      </c>
      <c r="B96" s="46">
        <f t="shared" si="6"/>
        <v>2010</v>
      </c>
      <c r="C96" s="46">
        <f t="shared" si="7"/>
        <v>8</v>
      </c>
      <c r="D96" s="45" t="str">
        <f t="shared" si="9"/>
        <v>20108</v>
      </c>
      <c r="E96" s="50"/>
      <c r="F96" s="53" t="s">
        <v>34</v>
      </c>
      <c r="G96" s="48">
        <f>VLOOKUP(D96,[2]Sheet1!$E$3:$F$321,2,0)</f>
        <v>19.2</v>
      </c>
      <c r="H96" s="49">
        <f>VLOOKUP(D96,[3]Sheet1!$E$3:$F$239,2,0)</f>
        <v>10646</v>
      </c>
      <c r="I96" s="44" t="s">
        <v>29</v>
      </c>
      <c r="J96" s="48"/>
      <c r="K96" s="58" t="s">
        <v>30</v>
      </c>
      <c r="L96" s="44" t="str">
        <f t="shared" si="10"/>
        <v>紧货币-宽信用</v>
      </c>
      <c r="M96" s="64" t="str">
        <f t="shared" si="8"/>
        <v>过热</v>
      </c>
      <c r="N96" s="64" t="s">
        <v>35</v>
      </c>
      <c r="O96" s="97"/>
      <c r="P96" s="97"/>
      <c r="Q96" s="97"/>
      <c r="R96" s="97"/>
    </row>
    <row r="97" spans="1:18" ht="14">
      <c r="A97" s="45">
        <v>40422</v>
      </c>
      <c r="B97" s="46">
        <f t="shared" si="6"/>
        <v>2010</v>
      </c>
      <c r="C97" s="46">
        <f t="shared" si="7"/>
        <v>9</v>
      </c>
      <c r="D97" s="45" t="str">
        <f t="shared" si="9"/>
        <v>20109</v>
      </c>
      <c r="E97" s="50"/>
      <c r="F97" s="53" t="s">
        <v>34</v>
      </c>
      <c r="G97" s="48">
        <f>VLOOKUP(D97,[2]Sheet1!$E$3:$F$321,2,0)</f>
        <v>18.96</v>
      </c>
      <c r="H97" s="49">
        <f>VLOOKUP(D97,[3]Sheet1!$E$3:$F$239,2,0)</f>
        <v>11224</v>
      </c>
      <c r="I97" s="44" t="s">
        <v>29</v>
      </c>
      <c r="J97" s="48"/>
      <c r="K97" s="58" t="s">
        <v>30</v>
      </c>
      <c r="L97" s="44" t="str">
        <f t="shared" si="10"/>
        <v>紧货币-宽信用</v>
      </c>
      <c r="M97" s="64" t="str">
        <f t="shared" si="8"/>
        <v>过热</v>
      </c>
      <c r="N97" s="64" t="s">
        <v>35</v>
      </c>
      <c r="O97" s="97"/>
      <c r="P97" s="97"/>
      <c r="Q97" s="97"/>
      <c r="R97" s="97"/>
    </row>
    <row r="98" spans="1:18" ht="14">
      <c r="A98" s="45">
        <v>40452</v>
      </c>
      <c r="B98" s="46">
        <f t="shared" si="6"/>
        <v>2010</v>
      </c>
      <c r="C98" s="46">
        <f t="shared" si="7"/>
        <v>10</v>
      </c>
      <c r="D98" s="45" t="str">
        <f t="shared" si="9"/>
        <v>201010</v>
      </c>
      <c r="E98" s="50"/>
      <c r="F98" s="53" t="s">
        <v>34</v>
      </c>
      <c r="G98" s="48">
        <f>VLOOKUP(D98,[2]Sheet1!$E$3:$F$321,2,0)</f>
        <v>19.3</v>
      </c>
      <c r="H98" s="49">
        <f>VLOOKUP(D98,[3]Sheet1!$E$3:$F$239,2,0)</f>
        <v>8608</v>
      </c>
      <c r="I98" s="44" t="s">
        <v>29</v>
      </c>
      <c r="J98" s="48"/>
      <c r="K98" s="58" t="s">
        <v>30</v>
      </c>
      <c r="L98" s="44" t="str">
        <f t="shared" si="10"/>
        <v>紧货币-宽信用</v>
      </c>
      <c r="M98" s="64" t="str">
        <f t="shared" si="8"/>
        <v>过热</v>
      </c>
      <c r="N98" s="64" t="s">
        <v>35</v>
      </c>
      <c r="O98" s="97"/>
      <c r="P98" s="97"/>
      <c r="Q98" s="97"/>
      <c r="R98" s="97"/>
    </row>
    <row r="99" spans="1:18" ht="14">
      <c r="A99" s="45">
        <v>40483</v>
      </c>
      <c r="B99" s="46">
        <f t="shared" si="6"/>
        <v>2010</v>
      </c>
      <c r="C99" s="46">
        <f t="shared" si="7"/>
        <v>11</v>
      </c>
      <c r="D99" s="45" t="str">
        <f t="shared" si="9"/>
        <v>201011</v>
      </c>
      <c r="E99" s="50"/>
      <c r="F99" s="53" t="s">
        <v>34</v>
      </c>
      <c r="G99" s="48">
        <f>VLOOKUP(D99,[2]Sheet1!$E$3:$F$321,2,0)</f>
        <v>19.5</v>
      </c>
      <c r="H99" s="49">
        <f>VLOOKUP(D99,[3]Sheet1!$E$3:$F$239,2,0)</f>
        <v>10554</v>
      </c>
      <c r="I99" s="44" t="s">
        <v>29</v>
      </c>
      <c r="J99" s="48"/>
      <c r="K99" s="58" t="s">
        <v>30</v>
      </c>
      <c r="L99" s="44" t="str">
        <f t="shared" si="10"/>
        <v>紧货币-宽信用</v>
      </c>
      <c r="M99" s="64" t="str">
        <f t="shared" si="8"/>
        <v>过热</v>
      </c>
      <c r="N99" s="64" t="s">
        <v>35</v>
      </c>
      <c r="O99" s="97"/>
      <c r="P99" s="97"/>
      <c r="Q99" s="97"/>
      <c r="R99" s="97"/>
    </row>
    <row r="100" spans="1:18" ht="77" customHeight="1">
      <c r="A100" s="45">
        <v>40513</v>
      </c>
      <c r="B100" s="46">
        <f t="shared" si="6"/>
        <v>2010</v>
      </c>
      <c r="C100" s="46">
        <f t="shared" si="7"/>
        <v>12</v>
      </c>
      <c r="D100" s="45" t="str">
        <f t="shared" si="9"/>
        <v>201012</v>
      </c>
      <c r="E100" s="50"/>
      <c r="F100" s="53" t="s">
        <v>34</v>
      </c>
      <c r="G100" s="48">
        <f>VLOOKUP(D100,[2]Sheet1!$E$3:$F$321,2,0)</f>
        <v>19.72</v>
      </c>
      <c r="H100" s="49">
        <f>VLOOKUP(D100,[3]Sheet1!$E$3:$F$239,2,0)</f>
        <v>10780</v>
      </c>
      <c r="I100" s="44">
        <v>27</v>
      </c>
      <c r="J100" s="48" t="s">
        <v>53</v>
      </c>
      <c r="K100" s="58" t="s">
        <v>30</v>
      </c>
      <c r="L100" s="44" t="str">
        <f t="shared" si="10"/>
        <v>紧货币-宽信用</v>
      </c>
      <c r="M100" s="64" t="str">
        <f t="shared" si="8"/>
        <v>过热</v>
      </c>
      <c r="N100" s="64" t="s">
        <v>35</v>
      </c>
      <c r="O100" s="97"/>
      <c r="P100" s="97"/>
      <c r="Q100" s="97"/>
      <c r="R100" s="97"/>
    </row>
    <row r="101" spans="1:18" ht="14">
      <c r="A101" s="45">
        <v>40544</v>
      </c>
      <c r="B101" s="46">
        <f t="shared" si="6"/>
        <v>2011</v>
      </c>
      <c r="C101" s="46">
        <f t="shared" si="7"/>
        <v>1</v>
      </c>
      <c r="D101" s="45" t="str">
        <f t="shared" si="9"/>
        <v>20111</v>
      </c>
      <c r="E101" s="50"/>
      <c r="F101" s="53" t="s">
        <v>34</v>
      </c>
      <c r="G101" s="48">
        <f>VLOOKUP(D101,[2]Sheet1!$E$3:$F$321,2,0)</f>
        <v>17.2</v>
      </c>
      <c r="H101" s="49">
        <f>VLOOKUP(D101,[3]Sheet1!$E$3:$F$239,2,0)</f>
        <v>17560</v>
      </c>
      <c r="I101" s="44" t="s">
        <v>29</v>
      </c>
      <c r="J101" s="48"/>
      <c r="K101" s="65" t="s">
        <v>37</v>
      </c>
      <c r="L101" s="44" t="str">
        <f t="shared" si="10"/>
        <v>紧货币-紧信用</v>
      </c>
      <c r="M101" s="60" t="str">
        <f t="shared" si="8"/>
        <v>滞涨</v>
      </c>
      <c r="N101" s="60" t="s">
        <v>38</v>
      </c>
      <c r="O101" s="97"/>
      <c r="P101" s="97"/>
      <c r="Q101" s="97"/>
      <c r="R101" s="97"/>
    </row>
    <row r="102" spans="1:18" ht="14">
      <c r="A102" s="45">
        <v>40575</v>
      </c>
      <c r="B102" s="46">
        <f t="shared" si="6"/>
        <v>2011</v>
      </c>
      <c r="C102" s="46">
        <f t="shared" si="7"/>
        <v>2</v>
      </c>
      <c r="D102" s="45" t="str">
        <f t="shared" si="9"/>
        <v>20112</v>
      </c>
      <c r="E102" s="50"/>
      <c r="F102" s="53" t="s">
        <v>34</v>
      </c>
      <c r="G102" s="48">
        <f>VLOOKUP(D102,[2]Sheet1!$E$3:$F$321,2,0)</f>
        <v>15.7</v>
      </c>
      <c r="H102" s="49">
        <f>VLOOKUP(D102,[3]Sheet1!$E$3:$F$239,2,0)</f>
        <v>6468</v>
      </c>
      <c r="I102" s="44" t="s">
        <v>29</v>
      </c>
      <c r="J102" s="48"/>
      <c r="K102" s="65" t="s">
        <v>37</v>
      </c>
      <c r="L102" s="44" t="str">
        <f t="shared" si="10"/>
        <v>紧货币-紧信用</v>
      </c>
      <c r="M102" s="60" t="str">
        <f t="shared" si="8"/>
        <v>滞涨</v>
      </c>
      <c r="N102" s="60" t="s">
        <v>38</v>
      </c>
      <c r="O102" s="97"/>
      <c r="P102" s="97"/>
      <c r="Q102" s="97"/>
      <c r="R102" s="97"/>
    </row>
    <row r="103" spans="1:18" ht="14">
      <c r="A103" s="45">
        <v>40603</v>
      </c>
      <c r="B103" s="46">
        <f t="shared" si="6"/>
        <v>2011</v>
      </c>
      <c r="C103" s="46">
        <f t="shared" si="7"/>
        <v>3</v>
      </c>
      <c r="D103" s="45" t="str">
        <f t="shared" si="9"/>
        <v>20113</v>
      </c>
      <c r="E103" s="50"/>
      <c r="F103" s="53" t="s">
        <v>34</v>
      </c>
      <c r="G103" s="48">
        <f>VLOOKUP(D103,[2]Sheet1!$E$3:$F$321,2,0)</f>
        <v>16.600000000000001</v>
      </c>
      <c r="H103" s="49">
        <f>VLOOKUP(D103,[3]Sheet1!$E$3:$F$239,2,0)</f>
        <v>18212</v>
      </c>
      <c r="I103" s="44" t="s">
        <v>29</v>
      </c>
      <c r="J103" s="48"/>
      <c r="K103" s="65" t="s">
        <v>37</v>
      </c>
      <c r="L103" s="44" t="str">
        <f t="shared" si="10"/>
        <v>紧货币-紧信用</v>
      </c>
      <c r="M103" s="60" t="str">
        <f t="shared" si="8"/>
        <v>滞涨</v>
      </c>
      <c r="N103" s="60" t="s">
        <v>38</v>
      </c>
      <c r="O103" s="97"/>
      <c r="P103" s="97"/>
      <c r="Q103" s="97"/>
      <c r="R103" s="97"/>
    </row>
    <row r="104" spans="1:18" ht="14">
      <c r="A104" s="45">
        <v>40634</v>
      </c>
      <c r="B104" s="46">
        <f t="shared" si="6"/>
        <v>2011</v>
      </c>
      <c r="C104" s="46">
        <f t="shared" si="7"/>
        <v>4</v>
      </c>
      <c r="D104" s="45" t="str">
        <f t="shared" si="9"/>
        <v>20114</v>
      </c>
      <c r="E104" s="50"/>
      <c r="F104" s="53" t="s">
        <v>34</v>
      </c>
      <c r="G104" s="48">
        <f>VLOOKUP(D104,[2]Sheet1!$E$3:$F$321,2,0)</f>
        <v>15.3</v>
      </c>
      <c r="H104" s="49">
        <f>VLOOKUP(D104,[3]Sheet1!$E$3:$F$239,2,0)</f>
        <v>13673</v>
      </c>
      <c r="I104" s="44" t="s">
        <v>29</v>
      </c>
      <c r="J104" s="48"/>
      <c r="K104" s="65" t="s">
        <v>37</v>
      </c>
      <c r="L104" s="44" t="str">
        <f t="shared" si="10"/>
        <v>紧货币-紧信用</v>
      </c>
      <c r="M104" s="60" t="str">
        <f t="shared" si="8"/>
        <v>滞涨</v>
      </c>
      <c r="N104" s="60" t="s">
        <v>38</v>
      </c>
      <c r="O104" s="97"/>
      <c r="P104" s="97"/>
      <c r="Q104" s="97"/>
      <c r="R104" s="97"/>
    </row>
    <row r="105" spans="1:18" ht="14">
      <c r="A105" s="45">
        <v>40664</v>
      </c>
      <c r="B105" s="46">
        <f t="shared" si="6"/>
        <v>2011</v>
      </c>
      <c r="C105" s="46">
        <f t="shared" si="7"/>
        <v>5</v>
      </c>
      <c r="D105" s="45" t="str">
        <f t="shared" si="9"/>
        <v>20115</v>
      </c>
      <c r="E105" s="50"/>
      <c r="F105" s="53" t="s">
        <v>34</v>
      </c>
      <c r="G105" s="48">
        <f>VLOOKUP(D105,[2]Sheet1!$E$3:$F$321,2,0)</f>
        <v>15.1</v>
      </c>
      <c r="H105" s="49">
        <f>VLOOKUP(D105,[3]Sheet1!$E$3:$F$239,2,0)</f>
        <v>10854</v>
      </c>
      <c r="I105" s="44" t="s">
        <v>29</v>
      </c>
      <c r="J105" s="48"/>
      <c r="K105" s="65" t="s">
        <v>37</v>
      </c>
      <c r="L105" s="44" t="str">
        <f t="shared" si="10"/>
        <v>紧货币-紧信用</v>
      </c>
      <c r="M105" s="60" t="str">
        <f t="shared" si="8"/>
        <v>滞涨</v>
      </c>
      <c r="N105" s="60" t="s">
        <v>38</v>
      </c>
      <c r="O105" s="97"/>
      <c r="P105" s="97"/>
      <c r="Q105" s="97"/>
      <c r="R105" s="97"/>
    </row>
    <row r="106" spans="1:18" ht="14">
      <c r="A106" s="45">
        <v>40695</v>
      </c>
      <c r="B106" s="46">
        <f t="shared" si="6"/>
        <v>2011</v>
      </c>
      <c r="C106" s="46">
        <f t="shared" si="7"/>
        <v>6</v>
      </c>
      <c r="D106" s="45" t="str">
        <f t="shared" si="9"/>
        <v>20116</v>
      </c>
      <c r="E106" s="50"/>
      <c r="F106" s="53" t="s">
        <v>34</v>
      </c>
      <c r="G106" s="48">
        <f>VLOOKUP(D106,[2]Sheet1!$E$3:$F$321,2,0)</f>
        <v>15.9</v>
      </c>
      <c r="H106" s="49">
        <f>VLOOKUP(D106,[3]Sheet1!$E$3:$F$239,2,0)</f>
        <v>10873</v>
      </c>
      <c r="I106" s="44" t="s">
        <v>29</v>
      </c>
      <c r="J106" s="48"/>
      <c r="K106" s="65" t="s">
        <v>37</v>
      </c>
      <c r="L106" s="44" t="str">
        <f t="shared" si="10"/>
        <v>紧货币-紧信用</v>
      </c>
      <c r="M106" s="60" t="str">
        <f t="shared" si="8"/>
        <v>滞涨</v>
      </c>
      <c r="N106" s="60" t="s">
        <v>38</v>
      </c>
      <c r="O106" s="97"/>
      <c r="P106" s="97"/>
      <c r="Q106" s="97"/>
      <c r="R106" s="97"/>
    </row>
    <row r="107" spans="1:18" ht="14">
      <c r="A107" s="45">
        <v>40725</v>
      </c>
      <c r="B107" s="46">
        <f t="shared" si="6"/>
        <v>2011</v>
      </c>
      <c r="C107" s="46">
        <f t="shared" si="7"/>
        <v>7</v>
      </c>
      <c r="D107" s="45" t="str">
        <f t="shared" si="9"/>
        <v>20117</v>
      </c>
      <c r="E107" s="50"/>
      <c r="F107" s="53" t="s">
        <v>34</v>
      </c>
      <c r="G107" s="48">
        <f>VLOOKUP(D107,[2]Sheet1!$E$3:$F$321,2,0)</f>
        <v>14.7</v>
      </c>
      <c r="H107" s="49">
        <f>VLOOKUP(D107,[3]Sheet1!$E$3:$F$239,2,0)</f>
        <v>5393</v>
      </c>
      <c r="I107" s="44" t="s">
        <v>29</v>
      </c>
      <c r="K107" s="65" t="s">
        <v>37</v>
      </c>
      <c r="L107" s="44" t="str">
        <f t="shared" si="10"/>
        <v>紧货币-紧信用</v>
      </c>
      <c r="M107" s="60" t="str">
        <f t="shared" si="8"/>
        <v>滞涨</v>
      </c>
      <c r="N107" s="60" t="s">
        <v>38</v>
      </c>
      <c r="O107" s="97"/>
      <c r="P107" s="97"/>
      <c r="Q107" s="97"/>
      <c r="R107" s="97"/>
    </row>
    <row r="108" spans="1:18" ht="14">
      <c r="A108" s="45">
        <v>40756</v>
      </c>
      <c r="B108" s="46">
        <f t="shared" si="6"/>
        <v>2011</v>
      </c>
      <c r="C108" s="46">
        <f t="shared" si="7"/>
        <v>8</v>
      </c>
      <c r="D108" s="45" t="str">
        <f t="shared" si="9"/>
        <v>20118</v>
      </c>
      <c r="E108" s="50"/>
      <c r="F108" s="53" t="s">
        <v>34</v>
      </c>
      <c r="G108" s="48">
        <f>VLOOKUP(D108,[2]Sheet1!$E$3:$F$321,2,0)</f>
        <v>13.5</v>
      </c>
      <c r="H108" s="49">
        <f>VLOOKUP(D108,[3]Sheet1!$E$3:$F$239,2,0)</f>
        <v>10741</v>
      </c>
      <c r="I108" s="44" t="s">
        <v>29</v>
      </c>
      <c r="J108" s="48"/>
      <c r="K108" s="65" t="s">
        <v>37</v>
      </c>
      <c r="L108" s="44" t="str">
        <f t="shared" si="10"/>
        <v>紧货币-紧信用</v>
      </c>
      <c r="M108" s="60" t="str">
        <f t="shared" si="8"/>
        <v>滞涨</v>
      </c>
      <c r="N108" s="60" t="s">
        <v>38</v>
      </c>
      <c r="O108" s="97"/>
      <c r="P108" s="97"/>
      <c r="Q108" s="97"/>
      <c r="R108" s="97"/>
    </row>
    <row r="109" spans="1:18" ht="14">
      <c r="A109" s="45">
        <v>40787</v>
      </c>
      <c r="B109" s="46">
        <f t="shared" si="6"/>
        <v>2011</v>
      </c>
      <c r="C109" s="46">
        <f t="shared" si="7"/>
        <v>9</v>
      </c>
      <c r="D109" s="45" t="str">
        <f t="shared" si="9"/>
        <v>20119</v>
      </c>
      <c r="E109" s="50"/>
      <c r="F109" s="53" t="s">
        <v>34</v>
      </c>
      <c r="G109" s="48">
        <f>VLOOKUP(D109,[2]Sheet1!$E$3:$F$321,2,0)</f>
        <v>13</v>
      </c>
      <c r="H109" s="49">
        <f>VLOOKUP(D109,[3]Sheet1!$E$3:$F$239,2,0)</f>
        <v>4279</v>
      </c>
      <c r="I109" s="44" t="s">
        <v>29</v>
      </c>
      <c r="J109" s="48"/>
      <c r="K109" s="65" t="s">
        <v>37</v>
      </c>
      <c r="L109" s="44" t="str">
        <f t="shared" si="10"/>
        <v>紧货币-紧信用</v>
      </c>
      <c r="M109" s="60" t="str">
        <f t="shared" si="8"/>
        <v>滞涨</v>
      </c>
      <c r="N109" s="60" t="s">
        <v>38</v>
      </c>
      <c r="O109" s="97"/>
      <c r="P109" s="97"/>
      <c r="Q109" s="97"/>
      <c r="R109" s="97"/>
    </row>
    <row r="110" spans="1:18" ht="14">
      <c r="A110" s="45">
        <v>40817</v>
      </c>
      <c r="B110" s="46">
        <f t="shared" si="6"/>
        <v>2011</v>
      </c>
      <c r="C110" s="46">
        <f t="shared" si="7"/>
        <v>10</v>
      </c>
      <c r="D110" s="45" t="str">
        <f t="shared" si="9"/>
        <v>201110</v>
      </c>
      <c r="E110" s="50"/>
      <c r="F110" s="53" t="s">
        <v>34</v>
      </c>
      <c r="G110" s="48">
        <f>VLOOKUP(D110,[2]Sheet1!$E$3:$F$321,2,0)</f>
        <v>12.9</v>
      </c>
      <c r="H110" s="49">
        <f>VLOOKUP(D110,[3]Sheet1!$E$3:$F$239,2,0)</f>
        <v>7908</v>
      </c>
      <c r="I110" s="44" t="s">
        <v>29</v>
      </c>
      <c r="J110" s="48"/>
      <c r="K110" s="65" t="s">
        <v>37</v>
      </c>
      <c r="L110" s="44" t="str">
        <f t="shared" si="10"/>
        <v>紧货币-紧信用</v>
      </c>
      <c r="M110" s="60" t="str">
        <f t="shared" si="8"/>
        <v>滞涨</v>
      </c>
      <c r="N110" s="60" t="s">
        <v>38</v>
      </c>
      <c r="O110" s="97"/>
      <c r="P110" s="97"/>
      <c r="Q110" s="97"/>
      <c r="R110" s="97"/>
    </row>
    <row r="111" spans="1:18" ht="15">
      <c r="A111" s="45">
        <v>40848</v>
      </c>
      <c r="B111" s="46">
        <f t="shared" si="6"/>
        <v>2011</v>
      </c>
      <c r="C111" s="46">
        <f t="shared" si="7"/>
        <v>11</v>
      </c>
      <c r="D111" s="45" t="str">
        <f t="shared" si="9"/>
        <v>201111</v>
      </c>
      <c r="E111" s="52" t="s">
        <v>54</v>
      </c>
      <c r="F111" s="53" t="s">
        <v>34</v>
      </c>
      <c r="G111" s="48">
        <f>VLOOKUP(D111,[2]Sheet1!$E$3:$F$321,2,0)</f>
        <v>12.7</v>
      </c>
      <c r="H111" s="49">
        <f>VLOOKUP(D111,[3]Sheet1!$E$3:$F$239,2,0)</f>
        <v>9581</v>
      </c>
      <c r="I111" s="44" t="s">
        <v>29</v>
      </c>
      <c r="J111" s="48"/>
      <c r="K111" s="65" t="s">
        <v>37</v>
      </c>
      <c r="L111" s="44" t="str">
        <f t="shared" si="10"/>
        <v>紧货币-紧信用</v>
      </c>
      <c r="M111" s="60" t="str">
        <f t="shared" si="8"/>
        <v>滞涨</v>
      </c>
      <c r="N111" s="60" t="s">
        <v>38</v>
      </c>
      <c r="O111" s="97"/>
      <c r="P111" s="97"/>
      <c r="Q111" s="97"/>
      <c r="R111" s="97"/>
    </row>
    <row r="112" spans="1:18" ht="66" customHeight="1">
      <c r="A112" s="51">
        <v>40878</v>
      </c>
      <c r="B112" s="46">
        <f t="shared" si="6"/>
        <v>2011</v>
      </c>
      <c r="C112" s="46">
        <f t="shared" si="7"/>
        <v>12</v>
      </c>
      <c r="D112" s="45" t="str">
        <f t="shared" si="9"/>
        <v>201112</v>
      </c>
      <c r="E112" s="50" t="s">
        <v>55</v>
      </c>
      <c r="F112" s="47" t="s">
        <v>28</v>
      </c>
      <c r="G112" s="48">
        <f>VLOOKUP(D112,[2]Sheet1!$E$3:$F$321,2,0)</f>
        <v>13.6</v>
      </c>
      <c r="H112" s="49">
        <f>VLOOKUP(D112,[3]Sheet1!$E$3:$F$239,2,0)</f>
        <v>12744</v>
      </c>
      <c r="I112" s="44">
        <v>18.2</v>
      </c>
      <c r="J112" s="61" t="s">
        <v>56</v>
      </c>
      <c r="K112" s="65" t="s">
        <v>37</v>
      </c>
      <c r="L112" s="44" t="str">
        <f t="shared" si="10"/>
        <v>宽货币-紧信用</v>
      </c>
      <c r="M112" s="63" t="str">
        <f t="shared" si="8"/>
        <v>萧条</v>
      </c>
      <c r="N112" s="63" t="s">
        <v>31</v>
      </c>
      <c r="O112" s="98"/>
      <c r="P112" s="98"/>
      <c r="Q112" s="98"/>
      <c r="R112" s="98"/>
    </row>
    <row r="113" spans="1:18" ht="14">
      <c r="A113" s="45">
        <v>40909</v>
      </c>
      <c r="B113" s="46">
        <f t="shared" si="6"/>
        <v>2012</v>
      </c>
      <c r="C113" s="46">
        <f t="shared" si="7"/>
        <v>1</v>
      </c>
      <c r="D113" s="45" t="str">
        <f t="shared" si="9"/>
        <v>20121</v>
      </c>
      <c r="F113" s="47" t="s">
        <v>28</v>
      </c>
      <c r="G113" s="48">
        <f>VLOOKUP(D113,[2]Sheet1!$E$3:$F$321,2,0)</f>
        <v>12.4</v>
      </c>
      <c r="H113" s="49">
        <f>VLOOKUP(D113,[3]Sheet1!$E$3:$F$239,2,0)</f>
        <v>9754</v>
      </c>
      <c r="I113" s="44" t="s">
        <v>29</v>
      </c>
      <c r="J113" s="48"/>
      <c r="K113" s="58" t="s">
        <v>30</v>
      </c>
      <c r="L113" s="44" t="str">
        <f t="shared" si="10"/>
        <v>宽货币-宽信用</v>
      </c>
      <c r="M113" s="63" t="str">
        <f t="shared" si="8"/>
        <v>复苏</v>
      </c>
      <c r="N113" s="63" t="s">
        <v>31</v>
      </c>
      <c r="O113" s="99"/>
      <c r="P113" s="99"/>
      <c r="Q113" s="99"/>
      <c r="R113" s="99"/>
    </row>
    <row r="114" spans="1:18" ht="15">
      <c r="A114" s="45">
        <v>40940</v>
      </c>
      <c r="B114" s="46">
        <f t="shared" si="6"/>
        <v>2012</v>
      </c>
      <c r="C114" s="46">
        <f t="shared" si="7"/>
        <v>2</v>
      </c>
      <c r="D114" s="45" t="str">
        <f t="shared" si="9"/>
        <v>20122</v>
      </c>
      <c r="E114" s="52" t="s">
        <v>57</v>
      </c>
      <c r="F114" s="47" t="s">
        <v>28</v>
      </c>
      <c r="G114" s="48">
        <f>VLOOKUP(D114,[2]Sheet1!$E$3:$F$321,2,0)</f>
        <v>13</v>
      </c>
      <c r="H114" s="49">
        <f>VLOOKUP(D114,[3]Sheet1!$E$3:$F$239,2,0)</f>
        <v>10431</v>
      </c>
      <c r="I114" s="44" t="s">
        <v>29</v>
      </c>
      <c r="J114" s="48"/>
      <c r="K114" s="58" t="s">
        <v>30</v>
      </c>
      <c r="L114" s="44" t="str">
        <f t="shared" si="10"/>
        <v>宽货币-宽信用</v>
      </c>
      <c r="M114" s="63" t="str">
        <f t="shared" si="8"/>
        <v>复苏</v>
      </c>
      <c r="N114" s="63" t="s">
        <v>31</v>
      </c>
      <c r="O114" s="99"/>
      <c r="P114" s="99"/>
      <c r="Q114" s="99"/>
      <c r="R114" s="99"/>
    </row>
    <row r="115" spans="1:18" ht="14">
      <c r="A115" s="45">
        <v>40969</v>
      </c>
      <c r="B115" s="46">
        <f t="shared" si="6"/>
        <v>2012</v>
      </c>
      <c r="C115" s="46">
        <f t="shared" si="7"/>
        <v>3</v>
      </c>
      <c r="D115" s="45" t="str">
        <f t="shared" si="9"/>
        <v>20123</v>
      </c>
      <c r="E115" s="50"/>
      <c r="F115" s="47" t="s">
        <v>28</v>
      </c>
      <c r="G115" s="48">
        <f>VLOOKUP(D115,[2]Sheet1!$E$3:$F$321,2,0)</f>
        <v>13.4</v>
      </c>
      <c r="H115" s="49">
        <f>VLOOKUP(D115,[3]Sheet1!$E$3:$F$239,2,0)</f>
        <v>18704</v>
      </c>
      <c r="I115" s="44" t="s">
        <v>29</v>
      </c>
      <c r="J115" s="48"/>
      <c r="K115" s="58" t="s">
        <v>30</v>
      </c>
      <c r="L115" s="44" t="str">
        <f t="shared" si="10"/>
        <v>宽货币-宽信用</v>
      </c>
      <c r="M115" s="63" t="str">
        <f t="shared" si="8"/>
        <v>复苏</v>
      </c>
      <c r="N115" s="63" t="s">
        <v>31</v>
      </c>
      <c r="O115" s="99"/>
      <c r="P115" s="99"/>
      <c r="Q115" s="99"/>
      <c r="R115" s="99"/>
    </row>
    <row r="116" spans="1:18" ht="14">
      <c r="A116" s="45">
        <v>41000</v>
      </c>
      <c r="B116" s="46">
        <f t="shared" si="6"/>
        <v>2012</v>
      </c>
      <c r="C116" s="46">
        <f t="shared" si="7"/>
        <v>4</v>
      </c>
      <c r="D116" s="45" t="str">
        <f t="shared" si="9"/>
        <v>20124</v>
      </c>
      <c r="E116" s="50"/>
      <c r="F116" s="47" t="s">
        <v>28</v>
      </c>
      <c r="G116" s="48">
        <f>VLOOKUP(D116,[2]Sheet1!$E$3:$F$321,2,0)</f>
        <v>12.8</v>
      </c>
      <c r="H116" s="49">
        <f>VLOOKUP(D116,[3]Sheet1!$E$3:$F$239,2,0)</f>
        <v>9637</v>
      </c>
      <c r="I116" s="44" t="s">
        <v>29</v>
      </c>
      <c r="J116" s="48"/>
      <c r="K116" s="58" t="s">
        <v>30</v>
      </c>
      <c r="L116" s="44" t="str">
        <f t="shared" si="10"/>
        <v>宽货币-宽信用</v>
      </c>
      <c r="M116" s="63" t="str">
        <f t="shared" si="8"/>
        <v>复苏</v>
      </c>
      <c r="N116" s="63" t="s">
        <v>31</v>
      </c>
      <c r="O116" s="99"/>
      <c r="P116" s="99"/>
      <c r="Q116" s="99"/>
      <c r="R116" s="99"/>
    </row>
    <row r="117" spans="1:18" ht="14">
      <c r="A117" s="45">
        <v>41030</v>
      </c>
      <c r="B117" s="46">
        <f t="shared" si="6"/>
        <v>2012</v>
      </c>
      <c r="C117" s="46">
        <f t="shared" si="7"/>
        <v>5</v>
      </c>
      <c r="D117" s="45" t="str">
        <f t="shared" si="9"/>
        <v>20125</v>
      </c>
      <c r="E117" s="50"/>
      <c r="F117" s="47" t="s">
        <v>28</v>
      </c>
      <c r="G117" s="48">
        <f>VLOOKUP(D117,[2]Sheet1!$E$3:$F$321,2,0)</f>
        <v>13.2</v>
      </c>
      <c r="H117" s="49">
        <f>VLOOKUP(D117,[3]Sheet1!$E$3:$F$239,2,0)</f>
        <v>11432</v>
      </c>
      <c r="I117" s="44" t="s">
        <v>29</v>
      </c>
      <c r="J117" s="48"/>
      <c r="K117" s="58" t="s">
        <v>30</v>
      </c>
      <c r="L117" s="44" t="str">
        <f t="shared" si="10"/>
        <v>宽货币-宽信用</v>
      </c>
      <c r="M117" s="63" t="str">
        <f t="shared" si="8"/>
        <v>复苏</v>
      </c>
      <c r="N117" s="63" t="s">
        <v>31</v>
      </c>
      <c r="O117" s="99"/>
      <c r="P117" s="99"/>
      <c r="Q117" s="99"/>
      <c r="R117" s="99"/>
    </row>
    <row r="118" spans="1:18" ht="15">
      <c r="A118" s="45">
        <v>41061</v>
      </c>
      <c r="B118" s="46">
        <f t="shared" si="6"/>
        <v>2012</v>
      </c>
      <c r="C118" s="46">
        <f t="shared" si="7"/>
        <v>6</v>
      </c>
      <c r="D118" s="45" t="str">
        <f t="shared" si="9"/>
        <v>20126</v>
      </c>
      <c r="E118" s="52" t="s">
        <v>57</v>
      </c>
      <c r="F118" s="47" t="s">
        <v>28</v>
      </c>
      <c r="G118" s="48">
        <f>VLOOKUP(D118,[2]Sheet1!$E$3:$F$321,2,0)</f>
        <v>13.6</v>
      </c>
      <c r="H118" s="49">
        <f>VLOOKUP(D118,[3]Sheet1!$E$3:$F$239,2,0)</f>
        <v>17802</v>
      </c>
      <c r="I118" s="44" t="s">
        <v>29</v>
      </c>
      <c r="J118" s="48"/>
      <c r="K118" s="58" t="s">
        <v>30</v>
      </c>
      <c r="L118" s="44" t="str">
        <f t="shared" si="10"/>
        <v>宽货币-宽信用</v>
      </c>
      <c r="M118" s="63" t="str">
        <f t="shared" si="8"/>
        <v>复苏</v>
      </c>
      <c r="N118" s="63" t="s">
        <v>31</v>
      </c>
      <c r="O118" s="99"/>
      <c r="P118" s="99"/>
      <c r="Q118" s="99"/>
      <c r="R118" s="99"/>
    </row>
    <row r="119" spans="1:18" ht="15">
      <c r="A119" s="51">
        <v>41091</v>
      </c>
      <c r="B119" s="46">
        <f t="shared" si="6"/>
        <v>2012</v>
      </c>
      <c r="C119" s="46">
        <f t="shared" si="7"/>
        <v>7</v>
      </c>
      <c r="D119" s="45" t="str">
        <f t="shared" si="9"/>
        <v>20127</v>
      </c>
      <c r="E119" s="52" t="s">
        <v>57</v>
      </c>
      <c r="F119" s="47" t="s">
        <v>28</v>
      </c>
      <c r="G119" s="48">
        <f>VLOOKUP(D119,[2]Sheet1!$E$3:$F$321,2,0)</f>
        <v>13.9</v>
      </c>
      <c r="H119" s="49">
        <f>VLOOKUP(D119,[3]Sheet1!$E$3:$F$239,2,0)</f>
        <v>10522</v>
      </c>
      <c r="I119" s="44" t="s">
        <v>29</v>
      </c>
      <c r="K119" s="58" t="s">
        <v>30</v>
      </c>
      <c r="L119" s="44" t="str">
        <f t="shared" si="10"/>
        <v>宽货币-宽信用</v>
      </c>
      <c r="M119" s="63" t="str">
        <f t="shared" si="8"/>
        <v>复苏</v>
      </c>
      <c r="N119" s="63" t="s">
        <v>31</v>
      </c>
      <c r="O119" s="99"/>
      <c r="P119" s="99"/>
      <c r="Q119" s="99"/>
      <c r="R119" s="99"/>
    </row>
    <row r="120" spans="1:18" ht="14">
      <c r="A120" s="45">
        <v>41122</v>
      </c>
      <c r="B120" s="46">
        <f t="shared" si="6"/>
        <v>2012</v>
      </c>
      <c r="C120" s="46">
        <f t="shared" si="7"/>
        <v>8</v>
      </c>
      <c r="D120" s="45" t="str">
        <f t="shared" si="9"/>
        <v>20128</v>
      </c>
      <c r="E120" s="50"/>
      <c r="F120" s="47" t="s">
        <v>28</v>
      </c>
      <c r="G120" s="48">
        <f>VLOOKUP(D120,[2]Sheet1!$E$3:$F$321,2,0)</f>
        <v>13.5</v>
      </c>
      <c r="H120" s="49">
        <f>VLOOKUP(D120,[3]Sheet1!$E$3:$F$239,2,0)</f>
        <v>12475</v>
      </c>
      <c r="I120" s="44" t="s">
        <v>29</v>
      </c>
      <c r="J120" s="48"/>
      <c r="K120" s="58" t="s">
        <v>30</v>
      </c>
      <c r="L120" s="44" t="str">
        <f t="shared" si="10"/>
        <v>宽货币-宽信用</v>
      </c>
      <c r="M120" s="64" t="str">
        <f t="shared" si="8"/>
        <v>复苏</v>
      </c>
      <c r="N120" s="63" t="s">
        <v>31</v>
      </c>
      <c r="O120" s="99"/>
      <c r="P120" s="99"/>
      <c r="Q120" s="99"/>
      <c r="R120" s="99"/>
    </row>
    <row r="121" spans="1:18" ht="14">
      <c r="A121" s="45">
        <v>41153</v>
      </c>
      <c r="B121" s="46">
        <f t="shared" si="6"/>
        <v>2012</v>
      </c>
      <c r="C121" s="46">
        <f t="shared" si="7"/>
        <v>9</v>
      </c>
      <c r="D121" s="45" t="str">
        <f t="shared" si="9"/>
        <v>20129</v>
      </c>
      <c r="E121" s="50"/>
      <c r="F121" s="47" t="s">
        <v>28</v>
      </c>
      <c r="G121" s="48">
        <f>VLOOKUP(D121,[2]Sheet1!$E$3:$F$321,2,0)</f>
        <v>14.8</v>
      </c>
      <c r="H121" s="49">
        <f>VLOOKUP(D121,[3]Sheet1!$E$3:$F$239,2,0)</f>
        <v>16462</v>
      </c>
      <c r="I121" s="44" t="s">
        <v>29</v>
      </c>
      <c r="J121" s="48"/>
      <c r="K121" s="58" t="s">
        <v>30</v>
      </c>
      <c r="L121" s="44" t="str">
        <f t="shared" si="10"/>
        <v>宽货币-宽信用</v>
      </c>
      <c r="M121" s="64" t="str">
        <f t="shared" si="8"/>
        <v>复苏</v>
      </c>
      <c r="N121" s="63" t="s">
        <v>31</v>
      </c>
      <c r="O121" s="99"/>
      <c r="P121" s="99"/>
      <c r="Q121" s="99"/>
      <c r="R121" s="99"/>
    </row>
    <row r="122" spans="1:18" ht="14">
      <c r="A122" s="45">
        <v>41183</v>
      </c>
      <c r="B122" s="46">
        <f t="shared" si="6"/>
        <v>2012</v>
      </c>
      <c r="C122" s="46">
        <f t="shared" si="7"/>
        <v>10</v>
      </c>
      <c r="D122" s="45" t="str">
        <f t="shared" si="9"/>
        <v>201210</v>
      </c>
      <c r="E122" s="50"/>
      <c r="F122" s="47" t="s">
        <v>28</v>
      </c>
      <c r="G122" s="48">
        <f>VLOOKUP(D122,[2]Sheet1!$E$3:$F$321,2,0)</f>
        <v>14.1</v>
      </c>
      <c r="H122" s="49">
        <f>VLOOKUP(D122,[3]Sheet1!$E$3:$F$239,2,0)</f>
        <v>12906</v>
      </c>
      <c r="I122" s="44" t="s">
        <v>29</v>
      </c>
      <c r="J122" s="48"/>
      <c r="K122" s="58" t="s">
        <v>30</v>
      </c>
      <c r="L122" s="44" t="str">
        <f t="shared" si="10"/>
        <v>宽货币-宽信用</v>
      </c>
      <c r="M122" s="64" t="str">
        <f t="shared" si="8"/>
        <v>复苏</v>
      </c>
      <c r="N122" s="63" t="s">
        <v>31</v>
      </c>
      <c r="O122" s="99"/>
      <c r="P122" s="99"/>
      <c r="Q122" s="99"/>
      <c r="R122" s="99"/>
    </row>
    <row r="123" spans="1:18" ht="14">
      <c r="A123" s="45">
        <v>41214</v>
      </c>
      <c r="B123" s="46">
        <f t="shared" si="6"/>
        <v>2012</v>
      </c>
      <c r="C123" s="46">
        <f t="shared" si="7"/>
        <v>11</v>
      </c>
      <c r="D123" s="45" t="str">
        <f t="shared" si="9"/>
        <v>201211</v>
      </c>
      <c r="E123" s="50"/>
      <c r="F123" s="47" t="s">
        <v>28</v>
      </c>
      <c r="G123" s="48">
        <f>VLOOKUP(D123,[2]Sheet1!$E$3:$F$321,2,0)</f>
        <v>13.9</v>
      </c>
      <c r="H123" s="49">
        <f>VLOOKUP(D123,[3]Sheet1!$E$3:$F$239,2,0)</f>
        <v>11225</v>
      </c>
      <c r="I123" s="44" t="s">
        <v>29</v>
      </c>
      <c r="J123" s="48"/>
      <c r="K123" s="58" t="s">
        <v>30</v>
      </c>
      <c r="L123" s="44" t="str">
        <f t="shared" si="10"/>
        <v>宽货币-宽信用</v>
      </c>
      <c r="M123" s="64" t="str">
        <f t="shared" si="8"/>
        <v>复苏</v>
      </c>
      <c r="N123" s="63" t="s">
        <v>31</v>
      </c>
      <c r="O123" s="99"/>
      <c r="P123" s="99"/>
      <c r="Q123" s="99"/>
      <c r="R123" s="99"/>
    </row>
    <row r="124" spans="1:18" ht="14">
      <c r="A124" s="45">
        <v>41244</v>
      </c>
      <c r="B124" s="46">
        <f t="shared" si="6"/>
        <v>2012</v>
      </c>
      <c r="C124" s="46">
        <f t="shared" si="7"/>
        <v>12</v>
      </c>
      <c r="D124" s="45" t="str">
        <f t="shared" si="9"/>
        <v>201212</v>
      </c>
      <c r="E124" s="50"/>
      <c r="F124" s="47" t="s">
        <v>28</v>
      </c>
      <c r="G124" s="48">
        <f>VLOOKUP(D124,[2]Sheet1!$E$3:$F$321,2,0)</f>
        <v>13.8</v>
      </c>
      <c r="H124" s="49">
        <f>VLOOKUP(D124,[3]Sheet1!$E$3:$F$239,2,0)</f>
        <v>16282</v>
      </c>
      <c r="I124" s="44">
        <v>19.100000000000001</v>
      </c>
      <c r="J124" s="48"/>
      <c r="K124" s="58" t="s">
        <v>30</v>
      </c>
      <c r="L124" s="44" t="str">
        <f t="shared" si="10"/>
        <v>宽货币-宽信用</v>
      </c>
      <c r="M124" s="64" t="str">
        <f t="shared" si="8"/>
        <v>复苏</v>
      </c>
      <c r="N124" s="63" t="s">
        <v>31</v>
      </c>
      <c r="O124" s="99"/>
      <c r="P124" s="99"/>
      <c r="Q124" s="99"/>
      <c r="R124" s="99"/>
    </row>
    <row r="125" spans="1:18" ht="14">
      <c r="A125" s="45">
        <v>41275</v>
      </c>
      <c r="B125" s="46">
        <f t="shared" si="6"/>
        <v>2013</v>
      </c>
      <c r="C125" s="46">
        <f t="shared" si="7"/>
        <v>1</v>
      </c>
      <c r="D125" s="45" t="str">
        <f t="shared" si="9"/>
        <v>20131</v>
      </c>
      <c r="E125" s="50"/>
      <c r="F125" s="47" t="s">
        <v>28</v>
      </c>
      <c r="G125" s="48">
        <f>VLOOKUP(D125,[2]Sheet1!$E$3:$F$321,2,0)</f>
        <v>15.9</v>
      </c>
      <c r="H125" s="49">
        <f>VLOOKUP(D125,[3]Sheet1!$E$3:$F$239,2,0)</f>
        <v>25446</v>
      </c>
      <c r="I125" s="44" t="s">
        <v>29</v>
      </c>
      <c r="J125" s="48"/>
      <c r="K125" s="58" t="s">
        <v>30</v>
      </c>
      <c r="L125" s="44" t="str">
        <f t="shared" si="10"/>
        <v>宽货币-宽信用</v>
      </c>
      <c r="M125" s="64" t="str">
        <f t="shared" si="8"/>
        <v>复苏</v>
      </c>
      <c r="N125" s="63" t="s">
        <v>31</v>
      </c>
      <c r="O125" s="99"/>
      <c r="P125" s="99"/>
      <c r="Q125" s="99"/>
      <c r="R125" s="99"/>
    </row>
    <row r="126" spans="1:18" ht="14">
      <c r="A126" s="45">
        <v>41306</v>
      </c>
      <c r="B126" s="46">
        <f t="shared" si="6"/>
        <v>2013</v>
      </c>
      <c r="C126" s="46">
        <f t="shared" si="7"/>
        <v>2</v>
      </c>
      <c r="D126" s="45" t="str">
        <f t="shared" si="9"/>
        <v>20132</v>
      </c>
      <c r="E126" s="50"/>
      <c r="F126" s="47" t="s">
        <v>28</v>
      </c>
      <c r="G126" s="48">
        <f>VLOOKUP(D126,[2]Sheet1!$E$3:$F$321,2,0)</f>
        <v>15.2</v>
      </c>
      <c r="H126" s="49">
        <f>VLOOKUP(D126,[3]Sheet1!$E$3:$F$239,2,0)</f>
        <v>10705</v>
      </c>
      <c r="I126" s="44" t="s">
        <v>29</v>
      </c>
      <c r="J126" s="48"/>
      <c r="K126" s="58" t="s">
        <v>30</v>
      </c>
      <c r="L126" s="44" t="str">
        <f t="shared" si="10"/>
        <v>宽货币-宽信用</v>
      </c>
      <c r="M126" s="64" t="str">
        <f t="shared" si="8"/>
        <v>复苏</v>
      </c>
      <c r="N126" s="63" t="s">
        <v>31</v>
      </c>
      <c r="O126" s="99"/>
      <c r="P126" s="99"/>
      <c r="Q126" s="99"/>
      <c r="R126" s="99"/>
    </row>
    <row r="127" spans="1:18" ht="14">
      <c r="A127" s="45">
        <v>41334</v>
      </c>
      <c r="B127" s="46">
        <f t="shared" si="6"/>
        <v>2013</v>
      </c>
      <c r="C127" s="46">
        <f t="shared" si="7"/>
        <v>3</v>
      </c>
      <c r="D127" s="45" t="str">
        <f t="shared" si="9"/>
        <v>20133</v>
      </c>
      <c r="E127" s="50"/>
      <c r="F127" s="47" t="s">
        <v>28</v>
      </c>
      <c r="G127" s="48">
        <f>VLOOKUP(D127,[2]Sheet1!$E$3:$F$321,2,0)</f>
        <v>15.7</v>
      </c>
      <c r="H127" s="49">
        <f>VLOOKUP(D127,[3]Sheet1!$E$3:$F$239,2,0)</f>
        <v>25503</v>
      </c>
      <c r="I127" s="44" t="s">
        <v>29</v>
      </c>
      <c r="J127" s="48"/>
      <c r="K127" s="58" t="s">
        <v>30</v>
      </c>
      <c r="L127" s="44" t="str">
        <f t="shared" si="10"/>
        <v>宽货币-宽信用</v>
      </c>
      <c r="M127" s="64" t="str">
        <f t="shared" si="8"/>
        <v>复苏</v>
      </c>
      <c r="N127" s="63" t="s">
        <v>31</v>
      </c>
      <c r="O127" s="99"/>
      <c r="P127" s="99"/>
      <c r="Q127" s="99"/>
      <c r="R127" s="99"/>
    </row>
    <row r="128" spans="1:18" ht="14">
      <c r="A128" s="45">
        <v>41365</v>
      </c>
      <c r="B128" s="46">
        <f t="shared" si="6"/>
        <v>2013</v>
      </c>
      <c r="C128" s="46">
        <f t="shared" si="7"/>
        <v>4</v>
      </c>
      <c r="D128" s="45" t="str">
        <f t="shared" si="9"/>
        <v>20134</v>
      </c>
      <c r="E128" s="50"/>
      <c r="F128" s="47" t="s">
        <v>28</v>
      </c>
      <c r="G128" s="48">
        <f>VLOOKUP(D128,[2]Sheet1!$E$3:$F$321,2,0)</f>
        <v>16.100000000000001</v>
      </c>
      <c r="H128" s="49">
        <f>VLOOKUP(D128,[3]Sheet1!$E$3:$F$239,2,0)</f>
        <v>17629</v>
      </c>
      <c r="I128" s="44" t="s">
        <v>29</v>
      </c>
      <c r="J128" s="48"/>
      <c r="K128" s="58" t="s">
        <v>30</v>
      </c>
      <c r="L128" s="44" t="str">
        <f t="shared" si="10"/>
        <v>宽货币-宽信用</v>
      </c>
      <c r="M128" s="64" t="str">
        <f t="shared" si="8"/>
        <v>复苏</v>
      </c>
      <c r="N128" s="63" t="s">
        <v>31</v>
      </c>
      <c r="O128" s="99"/>
      <c r="P128" s="99"/>
      <c r="Q128" s="99"/>
      <c r="R128" s="99"/>
    </row>
    <row r="129" spans="1:18" ht="70">
      <c r="A129" s="45">
        <v>41395</v>
      </c>
      <c r="B129" s="46">
        <f t="shared" si="6"/>
        <v>2013</v>
      </c>
      <c r="C129" s="46">
        <f t="shared" si="7"/>
        <v>5</v>
      </c>
      <c r="D129" s="45" t="str">
        <f t="shared" si="9"/>
        <v>20135</v>
      </c>
      <c r="E129" s="50"/>
      <c r="F129" s="47" t="s">
        <v>28</v>
      </c>
      <c r="G129" s="48">
        <f>VLOOKUP(D129,[2]Sheet1!$E$3:$F$321,2,0)</f>
        <v>15.8</v>
      </c>
      <c r="H129" s="49">
        <f>VLOOKUP(D129,[3]Sheet1!$E$3:$F$239,2,0)</f>
        <v>11871</v>
      </c>
      <c r="I129" s="44" t="s">
        <v>29</v>
      </c>
      <c r="J129" s="48" t="s">
        <v>58</v>
      </c>
      <c r="K129" s="58" t="s">
        <v>30</v>
      </c>
      <c r="L129" s="44" t="str">
        <f t="shared" si="10"/>
        <v>宽货币-宽信用</v>
      </c>
      <c r="M129" s="64" t="str">
        <f t="shared" si="8"/>
        <v>复苏</v>
      </c>
      <c r="N129" s="63" t="s">
        <v>31</v>
      </c>
      <c r="O129" s="99"/>
      <c r="P129" s="99"/>
      <c r="Q129" s="99"/>
      <c r="R129" s="99"/>
    </row>
    <row r="130" spans="1:18" ht="14">
      <c r="A130" s="45">
        <v>41426</v>
      </c>
      <c r="B130" s="46">
        <f t="shared" si="6"/>
        <v>2013</v>
      </c>
      <c r="C130" s="46">
        <f t="shared" si="7"/>
        <v>6</v>
      </c>
      <c r="D130" s="45" t="str">
        <f t="shared" si="9"/>
        <v>20136</v>
      </c>
      <c r="E130" s="50"/>
      <c r="F130" s="47" t="s">
        <v>28</v>
      </c>
      <c r="G130" s="48">
        <f>VLOOKUP(D130,[2]Sheet1!$E$3:$F$321,2,0)</f>
        <v>14</v>
      </c>
      <c r="H130" s="49">
        <f>VLOOKUP(D130,[3]Sheet1!$E$3:$F$239,2,0)</f>
        <v>10375</v>
      </c>
      <c r="I130" s="44" t="s">
        <v>29</v>
      </c>
      <c r="J130" s="48"/>
      <c r="K130" s="65" t="s">
        <v>37</v>
      </c>
      <c r="L130" s="44" t="str">
        <f t="shared" si="10"/>
        <v>宽货币-紧信用</v>
      </c>
      <c r="M130" s="44" t="str">
        <f t="shared" si="8"/>
        <v>萧条</v>
      </c>
      <c r="N130" s="63" t="s">
        <v>31</v>
      </c>
      <c r="O130" s="100"/>
      <c r="P130" s="100"/>
      <c r="Q130" s="100"/>
      <c r="R130" s="100"/>
    </row>
    <row r="131" spans="1:18" ht="14">
      <c r="A131" s="45">
        <v>41456</v>
      </c>
      <c r="B131" s="46">
        <f t="shared" si="6"/>
        <v>2013</v>
      </c>
      <c r="C131" s="46">
        <f t="shared" si="7"/>
        <v>7</v>
      </c>
      <c r="D131" s="45" t="str">
        <f t="shared" si="9"/>
        <v>20137</v>
      </c>
      <c r="E131" s="66" t="s">
        <v>59</v>
      </c>
      <c r="F131" s="53" t="s">
        <v>34</v>
      </c>
      <c r="G131" s="48">
        <f>VLOOKUP(D131,[2]Sheet1!$E$3:$F$321,2,0)</f>
        <v>14.5</v>
      </c>
      <c r="H131" s="49">
        <f>VLOOKUP(D131,[3]Sheet1!$E$3:$F$239,2,0)</f>
        <v>8191</v>
      </c>
      <c r="I131" s="44" t="s">
        <v>29</v>
      </c>
      <c r="J131" s="48"/>
      <c r="K131" s="65" t="s">
        <v>37</v>
      </c>
      <c r="L131" s="44" t="str">
        <f t="shared" si="10"/>
        <v>紧货币-紧信用</v>
      </c>
      <c r="M131" s="44" t="str">
        <f t="shared" si="8"/>
        <v>滞涨</v>
      </c>
      <c r="N131" s="44" t="s">
        <v>38</v>
      </c>
      <c r="O131" s="97"/>
      <c r="P131" s="97"/>
      <c r="Q131" s="97"/>
      <c r="R131" s="97"/>
    </row>
    <row r="132" spans="1:18" ht="14">
      <c r="A132" s="45">
        <v>41487</v>
      </c>
      <c r="B132" s="46">
        <f t="shared" si="6"/>
        <v>2013</v>
      </c>
      <c r="C132" s="46">
        <f t="shared" si="7"/>
        <v>8</v>
      </c>
      <c r="D132" s="45" t="str">
        <f t="shared" si="9"/>
        <v>20138</v>
      </c>
      <c r="E132" s="50"/>
      <c r="F132" s="53" t="s">
        <v>34</v>
      </c>
      <c r="G132" s="48">
        <f>VLOOKUP(D132,[2]Sheet1!$E$3:$F$321,2,0)</f>
        <v>14.7</v>
      </c>
      <c r="H132" s="49">
        <f>VLOOKUP(D132,[3]Sheet1!$E$3:$F$239,2,0)</f>
        <v>15841</v>
      </c>
      <c r="I132" s="44" t="s">
        <v>29</v>
      </c>
      <c r="J132" s="48"/>
      <c r="K132" s="65" t="s">
        <v>37</v>
      </c>
      <c r="L132" s="44" t="str">
        <f t="shared" si="10"/>
        <v>紧货币-紧信用</v>
      </c>
      <c r="M132" s="44" t="str">
        <f t="shared" si="8"/>
        <v>滞涨</v>
      </c>
      <c r="N132" s="44" t="s">
        <v>38</v>
      </c>
      <c r="O132" s="97"/>
      <c r="P132" s="97"/>
      <c r="Q132" s="97"/>
      <c r="R132" s="97"/>
    </row>
    <row r="133" spans="1:18" ht="14">
      <c r="A133" s="45">
        <v>41518</v>
      </c>
      <c r="B133" s="46">
        <f t="shared" ref="B133:B196" si="11">YEAR(A133)</f>
        <v>2013</v>
      </c>
      <c r="C133" s="46">
        <f t="shared" ref="C133:C196" si="12">MONTH(A133)</f>
        <v>9</v>
      </c>
      <c r="D133" s="45" t="str">
        <f t="shared" si="9"/>
        <v>20139</v>
      </c>
      <c r="E133" s="50"/>
      <c r="F133" s="53" t="s">
        <v>34</v>
      </c>
      <c r="G133" s="48">
        <f>VLOOKUP(D133,[2]Sheet1!$E$3:$F$321,2,0)</f>
        <v>14.2</v>
      </c>
      <c r="H133" s="49">
        <f>VLOOKUP(D133,[3]Sheet1!$E$3:$F$239,2,0)</f>
        <v>14120</v>
      </c>
      <c r="I133" s="44" t="s">
        <v>29</v>
      </c>
      <c r="J133" s="48"/>
      <c r="K133" s="65" t="s">
        <v>37</v>
      </c>
      <c r="L133" s="44" t="str">
        <f t="shared" si="10"/>
        <v>紧货币-紧信用</v>
      </c>
      <c r="M133" s="44" t="str">
        <f t="shared" ref="M133:M196" si="13">_xlfn.IFS(L133="宽货币-宽信用","复苏",L133="紧货币-宽信用","过热",L133="紧货币-紧信用","滞涨",L133="宽货币-紧信用","萧条")</f>
        <v>滞涨</v>
      </c>
      <c r="N133" s="44" t="s">
        <v>38</v>
      </c>
      <c r="O133" s="97"/>
      <c r="P133" s="97"/>
      <c r="Q133" s="97"/>
      <c r="R133" s="97"/>
    </row>
    <row r="134" spans="1:18" ht="14">
      <c r="A134" s="45">
        <v>41548</v>
      </c>
      <c r="B134" s="46">
        <f t="shared" si="11"/>
        <v>2013</v>
      </c>
      <c r="C134" s="46">
        <f t="shared" si="12"/>
        <v>10</v>
      </c>
      <c r="D134" s="45" t="str">
        <f t="shared" ref="D134:D197" si="14">B134&amp;C134</f>
        <v>201310</v>
      </c>
      <c r="E134" s="50"/>
      <c r="F134" s="53" t="s">
        <v>34</v>
      </c>
      <c r="G134" s="48">
        <f>VLOOKUP(D134,[2]Sheet1!$E$3:$F$321,2,0)</f>
        <v>14.3</v>
      </c>
      <c r="H134" s="49">
        <f>VLOOKUP(D134,[3]Sheet1!$E$3:$F$239,2,0)</f>
        <v>8645</v>
      </c>
      <c r="I134" s="44" t="s">
        <v>29</v>
      </c>
      <c r="J134" s="48"/>
      <c r="K134" s="65" t="s">
        <v>37</v>
      </c>
      <c r="L134" s="44" t="str">
        <f t="shared" si="10"/>
        <v>紧货币-紧信用</v>
      </c>
      <c r="M134" s="44" t="str">
        <f t="shared" si="13"/>
        <v>滞涨</v>
      </c>
      <c r="N134" s="44" t="s">
        <v>38</v>
      </c>
      <c r="O134" s="97"/>
      <c r="P134" s="97"/>
      <c r="Q134" s="97"/>
      <c r="R134" s="97"/>
    </row>
    <row r="135" spans="1:18" ht="14">
      <c r="A135" s="45">
        <v>41579</v>
      </c>
      <c r="B135" s="46">
        <f t="shared" si="11"/>
        <v>2013</v>
      </c>
      <c r="C135" s="46">
        <f t="shared" si="12"/>
        <v>11</v>
      </c>
      <c r="D135" s="45" t="str">
        <f t="shared" si="14"/>
        <v>201311</v>
      </c>
      <c r="E135" s="50"/>
      <c r="F135" s="53" t="s">
        <v>34</v>
      </c>
      <c r="G135" s="48">
        <f>VLOOKUP(D135,[2]Sheet1!$E$3:$F$321,2,0)</f>
        <v>14.2</v>
      </c>
      <c r="H135" s="49">
        <f>VLOOKUP(D135,[3]Sheet1!$E$3:$F$239,2,0)</f>
        <v>12310</v>
      </c>
      <c r="I135" s="44" t="s">
        <v>29</v>
      </c>
      <c r="J135" s="48"/>
      <c r="K135" s="65" t="s">
        <v>37</v>
      </c>
      <c r="L135" s="44" t="str">
        <f t="shared" si="10"/>
        <v>紧货币-紧信用</v>
      </c>
      <c r="M135" s="44" t="str">
        <f t="shared" si="13"/>
        <v>滞涨</v>
      </c>
      <c r="N135" s="44" t="s">
        <v>38</v>
      </c>
      <c r="O135" s="97"/>
      <c r="P135" s="97"/>
      <c r="Q135" s="97"/>
      <c r="R135" s="97"/>
    </row>
    <row r="136" spans="1:18" ht="14">
      <c r="A136" s="45">
        <v>41609</v>
      </c>
      <c r="B136" s="46">
        <f t="shared" si="11"/>
        <v>2013</v>
      </c>
      <c r="C136" s="46">
        <f t="shared" si="12"/>
        <v>12</v>
      </c>
      <c r="D136" s="45" t="str">
        <f t="shared" si="14"/>
        <v>201312</v>
      </c>
      <c r="E136" s="50"/>
      <c r="F136" s="53" t="s">
        <v>34</v>
      </c>
      <c r="G136" s="48">
        <f>VLOOKUP(D136,[2]Sheet1!$E$3:$F$321,2,0)</f>
        <v>13.6</v>
      </c>
      <c r="H136" s="49">
        <f>VLOOKUP(D136,[3]Sheet1!$E$3:$F$239,2,0)</f>
        <v>12532</v>
      </c>
      <c r="I136" s="44">
        <v>17.5</v>
      </c>
      <c r="J136" s="48"/>
      <c r="K136" s="65" t="s">
        <v>37</v>
      </c>
      <c r="L136" s="44" t="str">
        <f t="shared" si="10"/>
        <v>紧货币-紧信用</v>
      </c>
      <c r="M136" s="44" t="str">
        <f t="shared" si="13"/>
        <v>滞涨</v>
      </c>
      <c r="N136" s="44" t="s">
        <v>38</v>
      </c>
      <c r="O136" s="97"/>
      <c r="P136" s="97"/>
      <c r="Q136" s="97"/>
      <c r="R136" s="97"/>
    </row>
    <row r="137" spans="1:18" ht="14">
      <c r="A137" s="45">
        <v>41640</v>
      </c>
      <c r="B137" s="46">
        <f t="shared" si="11"/>
        <v>2014</v>
      </c>
      <c r="C137" s="46">
        <f t="shared" si="12"/>
        <v>1</v>
      </c>
      <c r="D137" s="45" t="str">
        <f t="shared" si="14"/>
        <v>20141</v>
      </c>
      <c r="E137" s="50"/>
      <c r="F137" s="53" t="s">
        <v>34</v>
      </c>
      <c r="G137" s="48">
        <f>VLOOKUP(D137,[2]Sheet1!$E$3:$F$321,2,0)</f>
        <v>13.2</v>
      </c>
      <c r="H137" s="49">
        <f>VLOOKUP(D137,[3]Sheet1!$E$3:$F$239,2,0)</f>
        <v>26004</v>
      </c>
      <c r="I137" s="44" t="s">
        <v>29</v>
      </c>
      <c r="J137" s="48"/>
      <c r="K137" s="65" t="s">
        <v>37</v>
      </c>
      <c r="L137" s="44" t="str">
        <f t="shared" si="10"/>
        <v>紧货币-紧信用</v>
      </c>
      <c r="M137" s="44" t="str">
        <f t="shared" si="13"/>
        <v>滞涨</v>
      </c>
      <c r="N137" s="44" t="s">
        <v>38</v>
      </c>
      <c r="O137" s="97"/>
      <c r="P137" s="97"/>
      <c r="Q137" s="97"/>
      <c r="R137" s="97"/>
    </row>
    <row r="138" spans="1:18" ht="14">
      <c r="A138" s="45">
        <v>41671</v>
      </c>
      <c r="B138" s="46">
        <f t="shared" si="11"/>
        <v>2014</v>
      </c>
      <c r="C138" s="46">
        <f t="shared" si="12"/>
        <v>2</v>
      </c>
      <c r="D138" s="45" t="str">
        <f t="shared" si="14"/>
        <v>20142</v>
      </c>
      <c r="E138" s="50"/>
      <c r="F138" s="53" t="s">
        <v>34</v>
      </c>
      <c r="G138" s="48">
        <f>VLOOKUP(D138,[2]Sheet1!$E$3:$F$321,2,0)</f>
        <v>13.3</v>
      </c>
      <c r="H138" s="49">
        <f>VLOOKUP(D138,[3]Sheet1!$E$3:$F$239,2,0)</f>
        <v>9370</v>
      </c>
      <c r="I138" s="44" t="s">
        <v>29</v>
      </c>
      <c r="J138" s="48"/>
      <c r="K138" s="65" t="s">
        <v>37</v>
      </c>
      <c r="L138" s="44" t="str">
        <f t="shared" si="10"/>
        <v>紧货币-紧信用</v>
      </c>
      <c r="M138" s="44" t="str">
        <f t="shared" si="13"/>
        <v>滞涨</v>
      </c>
      <c r="N138" s="44" t="s">
        <v>38</v>
      </c>
      <c r="O138" s="97"/>
      <c r="P138" s="97"/>
      <c r="Q138" s="97"/>
      <c r="R138" s="97"/>
    </row>
    <row r="139" spans="1:18" ht="75" customHeight="1">
      <c r="A139" s="45">
        <v>41699</v>
      </c>
      <c r="B139" s="46">
        <f t="shared" si="11"/>
        <v>2014</v>
      </c>
      <c r="C139" s="46">
        <f t="shared" si="12"/>
        <v>3</v>
      </c>
      <c r="D139" s="45" t="str">
        <f t="shared" si="14"/>
        <v>20143</v>
      </c>
      <c r="E139" s="50"/>
      <c r="F139" s="53" t="s">
        <v>34</v>
      </c>
      <c r="G139" s="48">
        <f>VLOOKUP(D139,[2]Sheet1!$E$3:$F$321,2,0)</f>
        <v>12.1</v>
      </c>
      <c r="H139" s="49">
        <f>VLOOKUP(D139,[3]Sheet1!$E$3:$F$239,2,0)</f>
        <v>20934</v>
      </c>
      <c r="I139" s="44" t="s">
        <v>29</v>
      </c>
      <c r="J139" s="48" t="s">
        <v>60</v>
      </c>
      <c r="K139" s="65" t="s">
        <v>37</v>
      </c>
      <c r="L139" s="44" t="str">
        <f t="shared" si="10"/>
        <v>紧货币-紧信用</v>
      </c>
      <c r="M139" s="44" t="str">
        <f t="shared" si="13"/>
        <v>滞涨</v>
      </c>
      <c r="N139" s="44" t="s">
        <v>38</v>
      </c>
      <c r="O139" s="97"/>
      <c r="P139" s="97"/>
      <c r="Q139" s="97"/>
      <c r="R139" s="97"/>
    </row>
    <row r="140" spans="1:18" ht="28">
      <c r="A140" s="51">
        <v>41730</v>
      </c>
      <c r="B140" s="46">
        <f t="shared" si="11"/>
        <v>2014</v>
      </c>
      <c r="C140" s="46">
        <f t="shared" si="12"/>
        <v>4</v>
      </c>
      <c r="D140" s="45" t="str">
        <f t="shared" si="14"/>
        <v>20144</v>
      </c>
      <c r="E140" s="50" t="s">
        <v>61</v>
      </c>
      <c r="F140" s="47" t="s">
        <v>28</v>
      </c>
      <c r="G140" s="48">
        <f>VLOOKUP(D140,[2]Sheet1!$E$3:$F$321,2,0)</f>
        <v>13.2</v>
      </c>
      <c r="H140" s="49">
        <f>VLOOKUP(D140,[3]Sheet1!$E$3:$F$239,2,0)</f>
        <v>15259</v>
      </c>
      <c r="I140" s="44" t="s">
        <v>29</v>
      </c>
      <c r="J140" s="48"/>
      <c r="K140" s="58" t="s">
        <v>30</v>
      </c>
      <c r="L140" s="44" t="str">
        <f t="shared" ref="L140:L203" si="15">F140&amp;K140</f>
        <v>宽货币-宽信用</v>
      </c>
      <c r="M140" s="44" t="str">
        <f t="shared" si="13"/>
        <v>复苏</v>
      </c>
      <c r="N140" s="44" t="s">
        <v>31</v>
      </c>
      <c r="O140" s="97"/>
      <c r="P140" s="97"/>
      <c r="Q140" s="97"/>
      <c r="R140" s="97"/>
    </row>
    <row r="141" spans="1:18" ht="15">
      <c r="A141" s="45">
        <v>41760</v>
      </c>
      <c r="B141" s="46">
        <f t="shared" si="11"/>
        <v>2014</v>
      </c>
      <c r="C141" s="46">
        <f t="shared" si="12"/>
        <v>5</v>
      </c>
      <c r="D141" s="45" t="str">
        <f t="shared" si="14"/>
        <v>20145</v>
      </c>
      <c r="E141" s="52" t="s">
        <v>62</v>
      </c>
      <c r="F141" s="47" t="s">
        <v>28</v>
      </c>
      <c r="G141" s="48">
        <f>VLOOKUP(D141,[2]Sheet1!$E$3:$F$321,2,0)</f>
        <v>13.4</v>
      </c>
      <c r="H141" s="49">
        <f>VLOOKUP(D141,[3]Sheet1!$E$3:$F$239,2,0)</f>
        <v>14013</v>
      </c>
      <c r="I141" s="44" t="s">
        <v>29</v>
      </c>
      <c r="J141" s="48"/>
      <c r="K141" s="58" t="s">
        <v>30</v>
      </c>
      <c r="L141" s="44" t="str">
        <f t="shared" si="15"/>
        <v>宽货币-宽信用</v>
      </c>
      <c r="M141" s="44" t="str">
        <f t="shared" si="13"/>
        <v>复苏</v>
      </c>
      <c r="N141" s="44" t="s">
        <v>31</v>
      </c>
      <c r="O141" s="97"/>
      <c r="P141" s="97"/>
      <c r="Q141" s="97"/>
      <c r="R141" s="97"/>
    </row>
    <row r="142" spans="1:18" ht="84">
      <c r="A142" s="45">
        <v>41791</v>
      </c>
      <c r="B142" s="46">
        <f t="shared" si="11"/>
        <v>2014</v>
      </c>
      <c r="C142" s="46">
        <f t="shared" si="12"/>
        <v>6</v>
      </c>
      <c r="D142" s="45" t="str">
        <f t="shared" si="14"/>
        <v>20146</v>
      </c>
      <c r="E142" s="50"/>
      <c r="F142" s="47" t="s">
        <v>28</v>
      </c>
      <c r="G142" s="48">
        <f>VLOOKUP(D142,[2]Sheet1!$E$3:$F$321,2,0)</f>
        <v>14.7</v>
      </c>
      <c r="H142" s="49">
        <f>VLOOKUP(D142,[3]Sheet1!$E$3:$F$239,2,0)</f>
        <v>19673</v>
      </c>
      <c r="I142" s="44" t="s">
        <v>29</v>
      </c>
      <c r="J142" s="61" t="s">
        <v>63</v>
      </c>
      <c r="K142" s="58" t="s">
        <v>30</v>
      </c>
      <c r="L142" s="44" t="str">
        <f t="shared" si="15"/>
        <v>宽货币-宽信用</v>
      </c>
      <c r="M142" s="44" t="str">
        <f t="shared" si="13"/>
        <v>复苏</v>
      </c>
      <c r="N142" s="44" t="s">
        <v>31</v>
      </c>
      <c r="O142" s="97"/>
      <c r="P142" s="97"/>
      <c r="Q142" s="97"/>
      <c r="R142" s="97"/>
    </row>
    <row r="143" spans="1:18" ht="78" customHeight="1">
      <c r="A143" s="45">
        <v>41821</v>
      </c>
      <c r="B143" s="46">
        <f t="shared" si="11"/>
        <v>2014</v>
      </c>
      <c r="C143" s="46">
        <f t="shared" si="12"/>
        <v>7</v>
      </c>
      <c r="D143" s="45" t="str">
        <f t="shared" si="14"/>
        <v>20147</v>
      </c>
      <c r="E143" s="50"/>
      <c r="F143" s="47" t="s">
        <v>28</v>
      </c>
      <c r="G143" s="48">
        <f>VLOOKUP(D143,[2]Sheet1!$E$3:$F$321,2,0)</f>
        <v>13.5</v>
      </c>
      <c r="H143" s="49">
        <f>VLOOKUP(D143,[3]Sheet1!$E$3:$F$239,2,0)</f>
        <v>2737</v>
      </c>
      <c r="I143" s="44" t="s">
        <v>29</v>
      </c>
      <c r="K143" s="65" t="s">
        <v>37</v>
      </c>
      <c r="L143" s="44" t="str">
        <f t="shared" si="15"/>
        <v>宽货币-紧信用</v>
      </c>
      <c r="M143" s="44" t="str">
        <f t="shared" si="13"/>
        <v>萧条</v>
      </c>
      <c r="N143" s="44" t="s">
        <v>40</v>
      </c>
      <c r="O143" s="97"/>
      <c r="P143" s="97"/>
      <c r="Q143" s="97"/>
      <c r="R143" s="97"/>
    </row>
    <row r="144" spans="1:18" ht="14">
      <c r="A144" s="45">
        <v>41852</v>
      </c>
      <c r="B144" s="46">
        <f t="shared" si="11"/>
        <v>2014</v>
      </c>
      <c r="C144" s="46">
        <f t="shared" si="12"/>
        <v>8</v>
      </c>
      <c r="D144" s="45" t="str">
        <f t="shared" si="14"/>
        <v>20148</v>
      </c>
      <c r="E144" s="50"/>
      <c r="F144" s="47" t="s">
        <v>28</v>
      </c>
      <c r="G144" s="48">
        <f>VLOOKUP(D144,[2]Sheet1!$E$3:$F$321,2,0)</f>
        <v>12.8</v>
      </c>
      <c r="H144" s="49">
        <f>VLOOKUP(D144,[3]Sheet1!$E$3:$F$239,2,0)</f>
        <v>9577</v>
      </c>
      <c r="I144" s="44" t="s">
        <v>29</v>
      </c>
      <c r="J144" s="48"/>
      <c r="K144" s="65" t="s">
        <v>37</v>
      </c>
      <c r="L144" s="44" t="str">
        <f t="shared" si="15"/>
        <v>宽货币-紧信用</v>
      </c>
      <c r="M144" s="44" t="str">
        <f t="shared" si="13"/>
        <v>萧条</v>
      </c>
      <c r="N144" s="44" t="s">
        <v>40</v>
      </c>
      <c r="O144" s="97"/>
      <c r="P144" s="97"/>
      <c r="Q144" s="97"/>
      <c r="R144" s="97"/>
    </row>
    <row r="145" spans="1:18" ht="14">
      <c r="A145" s="45">
        <v>41883</v>
      </c>
      <c r="B145" s="46">
        <f t="shared" si="11"/>
        <v>2014</v>
      </c>
      <c r="C145" s="46">
        <f t="shared" si="12"/>
        <v>9</v>
      </c>
      <c r="D145" s="45" t="str">
        <f t="shared" si="14"/>
        <v>20149</v>
      </c>
      <c r="E145" s="50"/>
      <c r="F145" s="47" t="s">
        <v>28</v>
      </c>
      <c r="G145" s="48">
        <f>VLOOKUP(D145,[2]Sheet1!$E$3:$F$321,2,0)</f>
        <v>12.9</v>
      </c>
      <c r="H145" s="49">
        <f>VLOOKUP(D145,[3]Sheet1!$E$3:$F$239,2,0)</f>
        <v>11355</v>
      </c>
      <c r="I145" s="44" t="s">
        <v>29</v>
      </c>
      <c r="J145" s="48"/>
      <c r="K145" s="65" t="s">
        <v>37</v>
      </c>
      <c r="L145" s="44" t="str">
        <f t="shared" si="15"/>
        <v>宽货币-紧信用</v>
      </c>
      <c r="M145" s="44" t="str">
        <f t="shared" si="13"/>
        <v>萧条</v>
      </c>
      <c r="N145" s="44" t="s">
        <v>40</v>
      </c>
      <c r="O145" s="97"/>
      <c r="P145" s="97"/>
      <c r="Q145" s="97"/>
      <c r="R145" s="97"/>
    </row>
    <row r="146" spans="1:18" ht="14">
      <c r="A146" s="45">
        <v>41913</v>
      </c>
      <c r="B146" s="46">
        <f t="shared" si="11"/>
        <v>2014</v>
      </c>
      <c r="C146" s="46">
        <f t="shared" si="12"/>
        <v>10</v>
      </c>
      <c r="D146" s="45" t="str">
        <f t="shared" si="14"/>
        <v>201410</v>
      </c>
      <c r="E146" s="50"/>
      <c r="F146" s="47" t="s">
        <v>28</v>
      </c>
      <c r="G146" s="48">
        <f>VLOOKUP(D146,[2]Sheet1!$E$3:$F$321,2,0)</f>
        <v>12.6</v>
      </c>
      <c r="H146" s="49">
        <f>VLOOKUP(D146,[3]Sheet1!$E$3:$F$239,2,0)</f>
        <v>6807</v>
      </c>
      <c r="I146" s="44" t="s">
        <v>29</v>
      </c>
      <c r="J146" s="48"/>
      <c r="K146" s="65" t="s">
        <v>37</v>
      </c>
      <c r="L146" s="44" t="str">
        <f t="shared" si="15"/>
        <v>宽货币-紧信用</v>
      </c>
      <c r="M146" s="44" t="str">
        <f t="shared" si="13"/>
        <v>萧条</v>
      </c>
      <c r="N146" s="44" t="s">
        <v>40</v>
      </c>
      <c r="O146" s="97"/>
      <c r="P146" s="97"/>
      <c r="Q146" s="97"/>
      <c r="R146" s="97"/>
    </row>
    <row r="147" spans="1:18" ht="15">
      <c r="A147" s="45">
        <v>41944</v>
      </c>
      <c r="B147" s="46">
        <f t="shared" si="11"/>
        <v>2014</v>
      </c>
      <c r="C147" s="46">
        <f t="shared" si="12"/>
        <v>11</v>
      </c>
      <c r="D147" s="45" t="str">
        <f t="shared" si="14"/>
        <v>201411</v>
      </c>
      <c r="E147" s="52" t="s">
        <v>51</v>
      </c>
      <c r="F147" s="47" t="s">
        <v>28</v>
      </c>
      <c r="G147" s="48">
        <f>VLOOKUP(D147,[2]Sheet1!$E$3:$F$321,2,0)</f>
        <v>12.3</v>
      </c>
      <c r="H147" s="49">
        <f>VLOOKUP(D147,[3]Sheet1!$E$3:$F$239,2,0)</f>
        <v>11459</v>
      </c>
      <c r="I147" s="44" t="s">
        <v>29</v>
      </c>
      <c r="J147" s="48"/>
      <c r="K147" s="65" t="s">
        <v>37</v>
      </c>
      <c r="L147" s="44" t="str">
        <f t="shared" si="15"/>
        <v>宽货币-紧信用</v>
      </c>
      <c r="M147" s="44" t="str">
        <f t="shared" si="13"/>
        <v>萧条</v>
      </c>
      <c r="N147" s="44" t="s">
        <v>40</v>
      </c>
      <c r="O147" s="97"/>
      <c r="P147" s="97"/>
      <c r="Q147" s="97"/>
      <c r="R147" s="97"/>
    </row>
    <row r="148" spans="1:18" ht="14">
      <c r="A148" s="45">
        <v>41974</v>
      </c>
      <c r="B148" s="46">
        <f t="shared" si="11"/>
        <v>2014</v>
      </c>
      <c r="C148" s="46">
        <f t="shared" si="12"/>
        <v>12</v>
      </c>
      <c r="D148" s="45" t="str">
        <f t="shared" si="14"/>
        <v>201412</v>
      </c>
      <c r="E148" s="50"/>
      <c r="F148" s="47" t="s">
        <v>28</v>
      </c>
      <c r="G148" s="48">
        <f>VLOOKUP(D148,[2]Sheet1!$E$3:$F$321,2,0)</f>
        <v>12.2</v>
      </c>
      <c r="H148" s="49">
        <f>VLOOKUP(D148,[3]Sheet1!$E$3:$F$239,2,0)</f>
        <v>16945</v>
      </c>
      <c r="I148" s="44">
        <v>14.3</v>
      </c>
      <c r="J148" s="48"/>
      <c r="K148" s="65" t="s">
        <v>37</v>
      </c>
      <c r="L148" s="44" t="str">
        <f t="shared" si="15"/>
        <v>宽货币-紧信用</v>
      </c>
      <c r="M148" s="44" t="str">
        <f t="shared" si="13"/>
        <v>萧条</v>
      </c>
      <c r="N148" s="44" t="s">
        <v>40</v>
      </c>
      <c r="O148" s="97"/>
      <c r="P148" s="97"/>
      <c r="Q148" s="97"/>
      <c r="R148" s="97"/>
    </row>
    <row r="149" spans="1:18" ht="14">
      <c r="A149" s="45">
        <v>42005</v>
      </c>
      <c r="B149" s="46">
        <f t="shared" si="11"/>
        <v>2015</v>
      </c>
      <c r="C149" s="46">
        <f t="shared" si="12"/>
        <v>1</v>
      </c>
      <c r="D149" s="45" t="str">
        <f t="shared" si="14"/>
        <v>20151</v>
      </c>
      <c r="E149" s="50"/>
      <c r="F149" s="47" t="s">
        <v>28</v>
      </c>
      <c r="G149" s="48">
        <f>VLOOKUP(D149,[2]Sheet1!$E$3:$F$321,2,0)</f>
        <v>10.8</v>
      </c>
      <c r="H149" s="49">
        <f>VLOOKUP(D149,[3]Sheet1!$E$3:$F$239,2,0)</f>
        <v>20516</v>
      </c>
      <c r="I149" s="44" t="s">
        <v>29</v>
      </c>
      <c r="J149" s="48"/>
      <c r="K149" s="65" t="s">
        <v>37</v>
      </c>
      <c r="L149" s="44" t="str">
        <f t="shared" si="15"/>
        <v>宽货币-紧信用</v>
      </c>
      <c r="M149" s="44" t="str">
        <f t="shared" si="13"/>
        <v>萧条</v>
      </c>
      <c r="N149" s="44" t="s">
        <v>40</v>
      </c>
      <c r="O149" s="97"/>
      <c r="P149" s="97"/>
      <c r="Q149" s="97"/>
      <c r="R149" s="97"/>
    </row>
    <row r="150" spans="1:18" ht="15">
      <c r="A150" s="45">
        <v>42036</v>
      </c>
      <c r="B150" s="46">
        <f t="shared" si="11"/>
        <v>2015</v>
      </c>
      <c r="C150" s="46">
        <f t="shared" si="12"/>
        <v>2</v>
      </c>
      <c r="D150" s="45" t="str">
        <f t="shared" si="14"/>
        <v>20152</v>
      </c>
      <c r="E150" s="52" t="s">
        <v>51</v>
      </c>
      <c r="F150" s="47" t="s">
        <v>28</v>
      </c>
      <c r="G150" s="48">
        <f>VLOOKUP(D150,[2]Sheet1!$E$3:$F$321,2,0)</f>
        <v>12.5</v>
      </c>
      <c r="H150" s="49">
        <f>VLOOKUP(D150,[3]Sheet1!$E$3:$F$239,2,0)</f>
        <v>13609</v>
      </c>
      <c r="I150" s="44" t="s">
        <v>29</v>
      </c>
      <c r="J150" s="48"/>
      <c r="K150" s="65" t="s">
        <v>37</v>
      </c>
      <c r="L150" s="44" t="str">
        <f t="shared" si="15"/>
        <v>宽货币-紧信用</v>
      </c>
      <c r="M150" s="44" t="str">
        <f t="shared" si="13"/>
        <v>萧条</v>
      </c>
      <c r="N150" s="44" t="s">
        <v>40</v>
      </c>
      <c r="O150" s="97"/>
      <c r="P150" s="97"/>
      <c r="Q150" s="97"/>
      <c r="R150" s="97"/>
    </row>
    <row r="151" spans="1:18" ht="14">
      <c r="A151" s="45">
        <v>42064</v>
      </c>
      <c r="B151" s="46">
        <f t="shared" si="11"/>
        <v>2015</v>
      </c>
      <c r="C151" s="46">
        <f t="shared" si="12"/>
        <v>3</v>
      </c>
      <c r="D151" s="45" t="str">
        <f t="shared" si="14"/>
        <v>20153</v>
      </c>
      <c r="E151" s="50"/>
      <c r="F151" s="47" t="s">
        <v>28</v>
      </c>
      <c r="G151" s="48">
        <f>VLOOKUP(D151,[2]Sheet1!$E$3:$F$321,2,0)</f>
        <v>11.6</v>
      </c>
      <c r="H151" s="49">
        <f>VLOOKUP(D151,[3]Sheet1!$E$3:$F$239,2,0)</f>
        <v>12433</v>
      </c>
      <c r="I151" s="44">
        <v>13</v>
      </c>
      <c r="J151" s="48"/>
      <c r="K151" s="65" t="s">
        <v>37</v>
      </c>
      <c r="L151" s="44" t="str">
        <f t="shared" si="15"/>
        <v>宽货币-紧信用</v>
      </c>
      <c r="M151" s="44" t="str">
        <f t="shared" si="13"/>
        <v>萧条</v>
      </c>
      <c r="N151" s="44" t="s">
        <v>40</v>
      </c>
      <c r="O151" s="97"/>
      <c r="P151" s="97"/>
      <c r="Q151" s="97"/>
      <c r="R151" s="97"/>
    </row>
    <row r="152" spans="1:18" ht="69" customHeight="1">
      <c r="A152" s="45">
        <v>42095</v>
      </c>
      <c r="B152" s="46">
        <f t="shared" si="11"/>
        <v>2015</v>
      </c>
      <c r="C152" s="46">
        <f t="shared" si="12"/>
        <v>4</v>
      </c>
      <c r="D152" s="45" t="str">
        <f t="shared" si="14"/>
        <v>20154</v>
      </c>
      <c r="E152" s="50"/>
      <c r="F152" s="47" t="s">
        <v>28</v>
      </c>
      <c r="G152" s="48">
        <f>VLOOKUP(D152,[2]Sheet1!$E$3:$F$321,2,0)</f>
        <v>10.1</v>
      </c>
      <c r="H152" s="49">
        <f>VLOOKUP(D152,[3]Sheet1!$E$3:$F$239,2,0)</f>
        <v>10582</v>
      </c>
      <c r="I152" s="44" t="s">
        <v>29</v>
      </c>
      <c r="J152" s="61" t="s">
        <v>64</v>
      </c>
      <c r="K152" s="65" t="s">
        <v>37</v>
      </c>
      <c r="L152" s="44" t="str">
        <f t="shared" si="15"/>
        <v>宽货币-紧信用</v>
      </c>
      <c r="M152" s="44" t="str">
        <f t="shared" si="13"/>
        <v>萧条</v>
      </c>
      <c r="N152" s="44" t="s">
        <v>40</v>
      </c>
      <c r="O152" s="97"/>
      <c r="P152" s="97"/>
      <c r="Q152" s="97"/>
      <c r="R152" s="97"/>
    </row>
    <row r="153" spans="1:18" ht="14">
      <c r="A153" s="45">
        <v>42125</v>
      </c>
      <c r="B153" s="46">
        <f t="shared" si="11"/>
        <v>2015</v>
      </c>
      <c r="C153" s="46">
        <f t="shared" si="12"/>
        <v>5</v>
      </c>
      <c r="D153" s="45" t="str">
        <f t="shared" si="14"/>
        <v>20155</v>
      </c>
      <c r="E153" s="50"/>
      <c r="F153" s="47" t="s">
        <v>28</v>
      </c>
      <c r="G153" s="48">
        <f>VLOOKUP(D153,[2]Sheet1!$E$3:$F$321,2,0)</f>
        <v>10.8</v>
      </c>
      <c r="H153" s="49">
        <f>VLOOKUP(D153,[3]Sheet1!$E$3:$F$239,2,0)</f>
        <v>12397</v>
      </c>
      <c r="I153" s="44" t="s">
        <v>29</v>
      </c>
      <c r="J153" s="48"/>
      <c r="K153" s="58" t="s">
        <v>30</v>
      </c>
      <c r="L153" s="44" t="str">
        <f t="shared" si="15"/>
        <v>宽货币-宽信用</v>
      </c>
      <c r="M153" s="44" t="str">
        <f t="shared" si="13"/>
        <v>复苏</v>
      </c>
      <c r="N153" s="44" t="s">
        <v>31</v>
      </c>
      <c r="O153" s="97"/>
      <c r="P153" s="97"/>
      <c r="Q153" s="97"/>
      <c r="R153" s="97"/>
    </row>
    <row r="154" spans="1:18" ht="14">
      <c r="A154" s="45">
        <v>42156</v>
      </c>
      <c r="B154" s="46">
        <f t="shared" si="11"/>
        <v>2015</v>
      </c>
      <c r="C154" s="46">
        <f t="shared" si="12"/>
        <v>6</v>
      </c>
      <c r="D154" s="45" t="str">
        <f t="shared" si="14"/>
        <v>20156</v>
      </c>
      <c r="E154" s="50"/>
      <c r="F154" s="47" t="s">
        <v>28</v>
      </c>
      <c r="G154" s="48">
        <f>VLOOKUP(D154,[2]Sheet1!$E$3:$F$321,2,0)</f>
        <v>11.8</v>
      </c>
      <c r="H154" s="49">
        <f>VLOOKUP(D154,[3]Sheet1!$E$3:$F$239,2,0)</f>
        <v>18384</v>
      </c>
      <c r="I154" s="44">
        <v>11.9</v>
      </c>
      <c r="J154" s="48"/>
      <c r="K154" s="58" t="s">
        <v>30</v>
      </c>
      <c r="L154" s="44" t="str">
        <f t="shared" si="15"/>
        <v>宽货币-宽信用</v>
      </c>
      <c r="M154" s="44" t="str">
        <f t="shared" si="13"/>
        <v>复苏</v>
      </c>
      <c r="N154" s="44" t="s">
        <v>31</v>
      </c>
      <c r="O154" s="97"/>
      <c r="P154" s="97"/>
      <c r="Q154" s="97"/>
      <c r="R154" s="97"/>
    </row>
    <row r="155" spans="1:18" ht="14">
      <c r="A155" s="45">
        <v>42186</v>
      </c>
      <c r="B155" s="46">
        <f t="shared" si="11"/>
        <v>2015</v>
      </c>
      <c r="C155" s="46">
        <f t="shared" si="12"/>
        <v>7</v>
      </c>
      <c r="D155" s="45" t="str">
        <f t="shared" si="14"/>
        <v>20157</v>
      </c>
      <c r="E155" s="50"/>
      <c r="F155" s="47" t="s">
        <v>28</v>
      </c>
      <c r="G155" s="48">
        <f>VLOOKUP(D155,[2]Sheet1!$E$3:$F$321,2,0)</f>
        <v>13.3</v>
      </c>
      <c r="H155" s="49">
        <f>VLOOKUP(D155,[3]Sheet1!$E$3:$F$239,2,0)</f>
        <v>7511</v>
      </c>
      <c r="I155" s="44" t="s">
        <v>29</v>
      </c>
      <c r="J155" s="48"/>
      <c r="K155" s="58" t="s">
        <v>30</v>
      </c>
      <c r="L155" s="44" t="str">
        <f t="shared" si="15"/>
        <v>宽货币-宽信用</v>
      </c>
      <c r="M155" s="44" t="str">
        <f t="shared" si="13"/>
        <v>复苏</v>
      </c>
      <c r="N155" s="44" t="s">
        <v>31</v>
      </c>
      <c r="O155" s="97"/>
      <c r="P155" s="97"/>
      <c r="Q155" s="97"/>
      <c r="R155" s="97"/>
    </row>
    <row r="156" spans="1:18" ht="14">
      <c r="A156" s="45">
        <v>42217</v>
      </c>
      <c r="B156" s="46">
        <f t="shared" si="11"/>
        <v>2015</v>
      </c>
      <c r="C156" s="46">
        <f t="shared" si="12"/>
        <v>8</v>
      </c>
      <c r="D156" s="45" t="str">
        <f t="shared" si="14"/>
        <v>20158</v>
      </c>
      <c r="E156" s="50"/>
      <c r="F156" s="47" t="s">
        <v>28</v>
      </c>
      <c r="G156" s="48">
        <f>VLOOKUP(D156,[2]Sheet1!$E$3:$F$321,2,0)</f>
        <v>13.3</v>
      </c>
      <c r="H156" s="49">
        <f>VLOOKUP(D156,[3]Sheet1!$E$3:$F$239,2,0)</f>
        <v>11097</v>
      </c>
      <c r="I156" s="44" t="s">
        <v>29</v>
      </c>
      <c r="J156" s="48"/>
      <c r="K156" s="58" t="s">
        <v>30</v>
      </c>
      <c r="L156" s="44" t="str">
        <f t="shared" si="15"/>
        <v>宽货币-宽信用</v>
      </c>
      <c r="M156" s="44" t="str">
        <f t="shared" si="13"/>
        <v>复苏</v>
      </c>
      <c r="N156" s="44" t="s">
        <v>31</v>
      </c>
      <c r="O156" s="97"/>
      <c r="P156" s="97"/>
      <c r="Q156" s="97"/>
      <c r="R156" s="97"/>
    </row>
    <row r="157" spans="1:18" ht="14">
      <c r="A157" s="45">
        <v>42248</v>
      </c>
      <c r="B157" s="46">
        <f t="shared" si="11"/>
        <v>2015</v>
      </c>
      <c r="C157" s="46">
        <f t="shared" si="12"/>
        <v>9</v>
      </c>
      <c r="D157" s="45" t="str">
        <f t="shared" si="14"/>
        <v>20159</v>
      </c>
      <c r="E157" s="50"/>
      <c r="F157" s="47" t="s">
        <v>28</v>
      </c>
      <c r="G157" s="48">
        <f>VLOOKUP(D157,[2]Sheet1!$E$3:$F$321,2,0)</f>
        <v>13.1</v>
      </c>
      <c r="H157" s="49">
        <f>VLOOKUP(D157,[3]Sheet1!$E$3:$F$239,2,0)</f>
        <v>13571</v>
      </c>
      <c r="I157" s="44">
        <v>12.5</v>
      </c>
      <c r="J157" s="48"/>
      <c r="K157" s="58" t="s">
        <v>30</v>
      </c>
      <c r="L157" s="44" t="str">
        <f t="shared" si="15"/>
        <v>宽货币-宽信用</v>
      </c>
      <c r="M157" s="44" t="str">
        <f t="shared" si="13"/>
        <v>复苏</v>
      </c>
      <c r="N157" s="44" t="s">
        <v>31</v>
      </c>
      <c r="O157" s="97"/>
      <c r="P157" s="97"/>
      <c r="Q157" s="97"/>
      <c r="R157" s="97"/>
    </row>
    <row r="158" spans="1:18" ht="14">
      <c r="A158" s="45">
        <v>42278</v>
      </c>
      <c r="B158" s="46">
        <f t="shared" si="11"/>
        <v>2015</v>
      </c>
      <c r="C158" s="46">
        <f t="shared" si="12"/>
        <v>10</v>
      </c>
      <c r="D158" s="45" t="str">
        <f t="shared" si="14"/>
        <v>201510</v>
      </c>
      <c r="E158" s="50"/>
      <c r="F158" s="47" t="s">
        <v>28</v>
      </c>
      <c r="G158" s="48">
        <f>VLOOKUP(D158,[2]Sheet1!$E$3:$F$321,2,0)</f>
        <v>13.5</v>
      </c>
      <c r="H158" s="49">
        <f>VLOOKUP(D158,[3]Sheet1!$E$3:$F$239,2,0)</f>
        <v>5593</v>
      </c>
      <c r="I158" s="44" t="s">
        <v>29</v>
      </c>
      <c r="J158" s="48"/>
      <c r="K158" s="58" t="s">
        <v>30</v>
      </c>
      <c r="L158" s="44" t="str">
        <f t="shared" si="15"/>
        <v>宽货币-宽信用</v>
      </c>
      <c r="M158" s="44" t="str">
        <f t="shared" si="13"/>
        <v>复苏</v>
      </c>
      <c r="N158" s="44" t="s">
        <v>31</v>
      </c>
      <c r="O158" s="97"/>
      <c r="P158" s="97"/>
      <c r="Q158" s="97"/>
      <c r="R158" s="97"/>
    </row>
    <row r="159" spans="1:18" ht="14">
      <c r="A159" s="45">
        <v>42309</v>
      </c>
      <c r="B159" s="46">
        <f t="shared" si="11"/>
        <v>2015</v>
      </c>
      <c r="C159" s="46">
        <f t="shared" si="12"/>
        <v>11</v>
      </c>
      <c r="D159" s="45" t="str">
        <f t="shared" si="14"/>
        <v>201511</v>
      </c>
      <c r="E159" s="50"/>
      <c r="F159" s="47" t="s">
        <v>28</v>
      </c>
      <c r="G159" s="48">
        <f>VLOOKUP(D159,[2]Sheet1!$E$3:$F$321,2,0)</f>
        <v>13.7</v>
      </c>
      <c r="H159" s="49">
        <f>VLOOKUP(D159,[3]Sheet1!$E$3:$F$239,2,0)</f>
        <v>10255</v>
      </c>
      <c r="I159" s="44" t="s">
        <v>29</v>
      </c>
      <c r="J159" s="48"/>
      <c r="K159" s="58" t="s">
        <v>30</v>
      </c>
      <c r="L159" s="44" t="str">
        <f t="shared" si="15"/>
        <v>宽货币-宽信用</v>
      </c>
      <c r="M159" s="44" t="str">
        <f t="shared" si="13"/>
        <v>复苏</v>
      </c>
      <c r="N159" s="44" t="s">
        <v>31</v>
      </c>
      <c r="O159" s="97"/>
      <c r="P159" s="97"/>
      <c r="Q159" s="97"/>
      <c r="R159" s="97"/>
    </row>
    <row r="160" spans="1:18" ht="14">
      <c r="A160" s="45">
        <v>42339</v>
      </c>
      <c r="B160" s="46">
        <f t="shared" si="11"/>
        <v>2015</v>
      </c>
      <c r="C160" s="46">
        <f t="shared" si="12"/>
        <v>12</v>
      </c>
      <c r="D160" s="45" t="str">
        <f t="shared" si="14"/>
        <v>201512</v>
      </c>
      <c r="E160" s="50"/>
      <c r="F160" s="47" t="s">
        <v>28</v>
      </c>
      <c r="G160" s="48">
        <f>VLOOKUP(D160,[2]Sheet1!$E$3:$F$321,2,0)</f>
        <v>13.3</v>
      </c>
      <c r="H160" s="49">
        <f>VLOOKUP(D160,[3]Sheet1!$E$3:$F$239,2,0)</f>
        <v>18114</v>
      </c>
      <c r="I160" s="44">
        <v>12.4</v>
      </c>
      <c r="J160" s="48"/>
      <c r="K160" s="58" t="s">
        <v>30</v>
      </c>
      <c r="L160" s="44" t="str">
        <f t="shared" si="15"/>
        <v>宽货币-宽信用</v>
      </c>
      <c r="M160" s="44" t="str">
        <f t="shared" si="13"/>
        <v>复苏</v>
      </c>
      <c r="N160" s="44" t="s">
        <v>31</v>
      </c>
      <c r="O160" s="97"/>
      <c r="P160" s="97"/>
      <c r="Q160" s="97"/>
      <c r="R160" s="97"/>
    </row>
    <row r="161" spans="1:18" ht="48" customHeight="1">
      <c r="A161" s="45">
        <v>42370</v>
      </c>
      <c r="B161" s="46">
        <f t="shared" si="11"/>
        <v>2016</v>
      </c>
      <c r="C161" s="46">
        <f t="shared" si="12"/>
        <v>1</v>
      </c>
      <c r="D161" s="45" t="str">
        <f t="shared" si="14"/>
        <v>20161</v>
      </c>
      <c r="E161" s="50"/>
      <c r="F161" s="47" t="s">
        <v>28</v>
      </c>
      <c r="G161" s="48">
        <f>VLOOKUP(D161,[2]Sheet1!$E$3:$F$321,2,0)</f>
        <v>14</v>
      </c>
      <c r="H161" s="49">
        <f>VLOOKUP(D161,[3]Sheet1!$E$3:$F$239,2,0)</f>
        <v>34758</v>
      </c>
      <c r="I161" s="44">
        <v>13.1</v>
      </c>
      <c r="J161" s="61" t="s">
        <v>65</v>
      </c>
      <c r="K161" s="58" t="s">
        <v>30</v>
      </c>
      <c r="L161" s="44" t="str">
        <f t="shared" si="15"/>
        <v>宽货币-宽信用</v>
      </c>
      <c r="M161" s="44" t="str">
        <f t="shared" si="13"/>
        <v>复苏</v>
      </c>
      <c r="N161" s="44" t="s">
        <v>31</v>
      </c>
      <c r="O161" s="97"/>
      <c r="P161" s="97"/>
      <c r="Q161" s="97"/>
      <c r="R161" s="97"/>
    </row>
    <row r="162" spans="1:18" ht="14">
      <c r="A162" s="45">
        <v>42401</v>
      </c>
      <c r="B162" s="46">
        <f t="shared" si="11"/>
        <v>2016</v>
      </c>
      <c r="C162" s="46">
        <f t="shared" si="12"/>
        <v>2</v>
      </c>
      <c r="D162" s="45" t="str">
        <f t="shared" si="14"/>
        <v>20162</v>
      </c>
      <c r="E162" s="50"/>
      <c r="F162" s="47" t="s">
        <v>28</v>
      </c>
      <c r="G162" s="48">
        <f>VLOOKUP(D162,[2]Sheet1!$E$3:$F$321,2,0)</f>
        <v>13.3</v>
      </c>
      <c r="H162" s="49">
        <f>VLOOKUP(D162,[3]Sheet1!$E$3:$F$239,2,0)</f>
        <v>8312</v>
      </c>
      <c r="I162" s="44">
        <v>12.7</v>
      </c>
      <c r="J162" s="48"/>
      <c r="K162" s="65" t="s">
        <v>37</v>
      </c>
      <c r="L162" s="44" t="str">
        <f t="shared" si="15"/>
        <v>宽货币-紧信用</v>
      </c>
      <c r="M162" s="44" t="str">
        <f t="shared" si="13"/>
        <v>萧条</v>
      </c>
      <c r="N162" s="44" t="s">
        <v>40</v>
      </c>
      <c r="O162" s="97"/>
      <c r="P162" s="97"/>
      <c r="Q162" s="97"/>
      <c r="R162" s="97"/>
    </row>
    <row r="163" spans="1:18" ht="14">
      <c r="A163" s="45">
        <v>42430</v>
      </c>
      <c r="B163" s="46">
        <f t="shared" si="11"/>
        <v>2016</v>
      </c>
      <c r="C163" s="46">
        <f t="shared" si="12"/>
        <v>3</v>
      </c>
      <c r="D163" s="45" t="str">
        <f t="shared" si="14"/>
        <v>20163</v>
      </c>
      <c r="E163" s="50"/>
      <c r="F163" s="47" t="s">
        <v>28</v>
      </c>
      <c r="G163" s="48">
        <f>VLOOKUP(D163,[2]Sheet1!$E$3:$F$321,2,0)</f>
        <v>13.4</v>
      </c>
      <c r="H163" s="49">
        <f>VLOOKUP(D163,[3]Sheet1!$E$3:$F$239,2,0)</f>
        <v>23931</v>
      </c>
      <c r="I163" s="44">
        <v>13.4</v>
      </c>
      <c r="J163" s="48"/>
      <c r="K163" s="65" t="s">
        <v>37</v>
      </c>
      <c r="L163" s="44" t="str">
        <f t="shared" si="15"/>
        <v>宽货币-紧信用</v>
      </c>
      <c r="M163" s="44" t="str">
        <f t="shared" si="13"/>
        <v>萧条</v>
      </c>
      <c r="N163" s="44" t="s">
        <v>40</v>
      </c>
      <c r="O163" s="97"/>
      <c r="P163" s="97"/>
      <c r="Q163" s="97"/>
      <c r="R163" s="97"/>
    </row>
    <row r="164" spans="1:18" ht="14">
      <c r="A164" s="45">
        <v>42461</v>
      </c>
      <c r="B164" s="46">
        <f t="shared" si="11"/>
        <v>2016</v>
      </c>
      <c r="C164" s="46">
        <f t="shared" si="12"/>
        <v>4</v>
      </c>
      <c r="D164" s="45" t="str">
        <f t="shared" si="14"/>
        <v>20164</v>
      </c>
      <c r="E164" s="50"/>
      <c r="F164" s="47" t="s">
        <v>28</v>
      </c>
      <c r="G164" s="48">
        <f>VLOOKUP(D164,[2]Sheet1!$E$3:$F$321,2,0)</f>
        <v>12.8</v>
      </c>
      <c r="H164" s="49">
        <f>VLOOKUP(D164,[3]Sheet1!$E$3:$F$239,2,0)</f>
        <v>7809</v>
      </c>
      <c r="I164" s="44">
        <v>13.1</v>
      </c>
      <c r="J164" s="48"/>
      <c r="K164" s="65" t="s">
        <v>37</v>
      </c>
      <c r="L164" s="44" t="str">
        <f t="shared" si="15"/>
        <v>宽货币-紧信用</v>
      </c>
      <c r="M164" s="44" t="str">
        <f t="shared" si="13"/>
        <v>萧条</v>
      </c>
      <c r="N164" s="44" t="s">
        <v>40</v>
      </c>
      <c r="O164" s="97"/>
      <c r="P164" s="97"/>
      <c r="Q164" s="97"/>
      <c r="R164" s="97"/>
    </row>
    <row r="165" spans="1:18" ht="14">
      <c r="A165" s="45">
        <v>42491</v>
      </c>
      <c r="B165" s="46">
        <f t="shared" si="11"/>
        <v>2016</v>
      </c>
      <c r="C165" s="46">
        <f t="shared" si="12"/>
        <v>5</v>
      </c>
      <c r="D165" s="45" t="str">
        <f t="shared" si="14"/>
        <v>20165</v>
      </c>
      <c r="E165" s="50"/>
      <c r="F165" s="47" t="s">
        <v>28</v>
      </c>
      <c r="G165" s="48">
        <f>VLOOKUP(D165,[2]Sheet1!$E$3:$F$321,2,0)</f>
        <v>11.8</v>
      </c>
      <c r="H165" s="49">
        <f>VLOOKUP(D165,[3]Sheet1!$E$3:$F$239,2,0)</f>
        <v>6770</v>
      </c>
      <c r="I165" s="44">
        <v>12.6</v>
      </c>
      <c r="J165" s="48"/>
      <c r="K165" s="65" t="s">
        <v>37</v>
      </c>
      <c r="L165" s="44" t="str">
        <f t="shared" si="15"/>
        <v>宽货币-紧信用</v>
      </c>
      <c r="M165" s="44" t="str">
        <f t="shared" si="13"/>
        <v>萧条</v>
      </c>
      <c r="N165" s="44" t="s">
        <v>40</v>
      </c>
      <c r="O165" s="97"/>
      <c r="P165" s="97"/>
      <c r="Q165" s="97"/>
      <c r="R165" s="97"/>
    </row>
    <row r="166" spans="1:18" ht="14">
      <c r="A166" s="45">
        <v>42522</v>
      </c>
      <c r="B166" s="46">
        <f t="shared" si="11"/>
        <v>2016</v>
      </c>
      <c r="C166" s="46">
        <f t="shared" si="12"/>
        <v>6</v>
      </c>
      <c r="D166" s="45" t="str">
        <f t="shared" si="14"/>
        <v>20166</v>
      </c>
      <c r="E166" s="50"/>
      <c r="F166" s="47" t="s">
        <v>28</v>
      </c>
      <c r="G166" s="48">
        <f>VLOOKUP(D166,[2]Sheet1!$E$3:$F$321,2,0)</f>
        <v>11.8</v>
      </c>
      <c r="H166" s="49">
        <f>VLOOKUP(D166,[3]Sheet1!$E$3:$F$239,2,0)</f>
        <v>16479</v>
      </c>
      <c r="I166" s="44">
        <v>12.4</v>
      </c>
      <c r="J166" s="48"/>
      <c r="K166" s="65" t="s">
        <v>37</v>
      </c>
      <c r="L166" s="44" t="str">
        <f t="shared" si="15"/>
        <v>宽货币-紧信用</v>
      </c>
      <c r="M166" s="44" t="str">
        <f t="shared" si="13"/>
        <v>萧条</v>
      </c>
      <c r="N166" s="44" t="s">
        <v>40</v>
      </c>
      <c r="O166" s="97"/>
      <c r="P166" s="97"/>
      <c r="Q166" s="97"/>
      <c r="R166" s="97"/>
    </row>
    <row r="167" spans="1:18" ht="57" customHeight="1">
      <c r="A167" s="45">
        <v>42552</v>
      </c>
      <c r="B167" s="46">
        <f t="shared" si="11"/>
        <v>2016</v>
      </c>
      <c r="C167" s="46">
        <f t="shared" si="12"/>
        <v>7</v>
      </c>
      <c r="D167" s="45" t="str">
        <f t="shared" si="14"/>
        <v>20167</v>
      </c>
      <c r="E167" s="67" t="s">
        <v>66</v>
      </c>
      <c r="F167" s="47" t="s">
        <v>28</v>
      </c>
      <c r="G167" s="48">
        <f>VLOOKUP(D167,[2]Sheet1!$E$3:$F$321,2,0)</f>
        <v>10.199999999999999</v>
      </c>
      <c r="H167" s="49">
        <f>VLOOKUP(D167,[3]Sheet1!$E$3:$F$239,2,0)</f>
        <v>4791</v>
      </c>
      <c r="I167" s="44">
        <v>12.2</v>
      </c>
      <c r="J167" s="69" t="s">
        <v>67</v>
      </c>
      <c r="K167" s="65" t="s">
        <v>37</v>
      </c>
      <c r="L167" s="44" t="str">
        <f t="shared" si="15"/>
        <v>宽货币-紧信用</v>
      </c>
      <c r="M167" s="44" t="str">
        <f t="shared" si="13"/>
        <v>萧条</v>
      </c>
      <c r="N167" s="44" t="s">
        <v>40</v>
      </c>
      <c r="O167" s="97"/>
      <c r="P167" s="97"/>
      <c r="Q167" s="97"/>
      <c r="R167" s="97"/>
    </row>
    <row r="168" spans="1:18" ht="14">
      <c r="A168" s="45">
        <v>42583</v>
      </c>
      <c r="B168" s="46">
        <f t="shared" si="11"/>
        <v>2016</v>
      </c>
      <c r="C168" s="46">
        <f t="shared" si="12"/>
        <v>8</v>
      </c>
      <c r="D168" s="45" t="str">
        <f t="shared" si="14"/>
        <v>20168</v>
      </c>
      <c r="E168" s="50"/>
      <c r="F168" s="47" t="s">
        <v>28</v>
      </c>
      <c r="G168" s="48">
        <f>VLOOKUP(D168,[2]Sheet1!$E$3:$F$321,2,0)</f>
        <v>11.4</v>
      </c>
      <c r="H168" s="49">
        <f>VLOOKUP(D168,[3]Sheet1!$E$3:$F$239,2,0)</f>
        <v>14605</v>
      </c>
      <c r="I168" s="44">
        <v>12.3</v>
      </c>
      <c r="J168" s="48"/>
      <c r="K168" s="58" t="s">
        <v>30</v>
      </c>
      <c r="L168" s="44" t="str">
        <f t="shared" si="15"/>
        <v>宽货币-宽信用</v>
      </c>
      <c r="M168" s="44" t="str">
        <f t="shared" si="13"/>
        <v>复苏</v>
      </c>
      <c r="N168" s="44" t="s">
        <v>31</v>
      </c>
      <c r="O168" s="98"/>
      <c r="P168" s="98"/>
      <c r="Q168" s="98"/>
      <c r="R168" s="98"/>
    </row>
    <row r="169" spans="1:18" ht="14">
      <c r="A169" s="45">
        <v>42614</v>
      </c>
      <c r="B169" s="46">
        <f t="shared" si="11"/>
        <v>2016</v>
      </c>
      <c r="C169" s="46">
        <f t="shared" si="12"/>
        <v>9</v>
      </c>
      <c r="D169" s="45" t="str">
        <f t="shared" si="14"/>
        <v>20169</v>
      </c>
      <c r="E169" s="50"/>
      <c r="F169" s="47" t="s">
        <v>28</v>
      </c>
      <c r="G169" s="48">
        <f>VLOOKUP(D169,[2]Sheet1!$E$3:$F$321,2,0)</f>
        <v>11.5</v>
      </c>
      <c r="H169" s="49">
        <f>VLOOKUP(D169,[3]Sheet1!$E$3:$F$239,2,0)</f>
        <v>17115</v>
      </c>
      <c r="I169" s="44">
        <v>12.5</v>
      </c>
      <c r="J169" s="48"/>
      <c r="K169" s="58" t="s">
        <v>30</v>
      </c>
      <c r="L169" s="44" t="str">
        <f t="shared" si="15"/>
        <v>宽货币-宽信用</v>
      </c>
      <c r="M169" s="44" t="str">
        <f t="shared" si="13"/>
        <v>复苏</v>
      </c>
      <c r="N169" s="44" t="s">
        <v>31</v>
      </c>
      <c r="O169" s="99"/>
      <c r="P169" s="99"/>
      <c r="Q169" s="99"/>
      <c r="R169" s="99"/>
    </row>
    <row r="170" spans="1:18" ht="14">
      <c r="A170" s="45">
        <v>42644</v>
      </c>
      <c r="B170" s="46">
        <f t="shared" si="11"/>
        <v>2016</v>
      </c>
      <c r="C170" s="46">
        <f t="shared" si="12"/>
        <v>10</v>
      </c>
      <c r="D170" s="45" t="str">
        <f t="shared" si="14"/>
        <v>201610</v>
      </c>
      <c r="E170" s="50"/>
      <c r="F170" s="47" t="s">
        <v>28</v>
      </c>
      <c r="G170" s="48">
        <f>VLOOKUP(D170,[2]Sheet1!$E$3:$F$321,2,0)</f>
        <v>11.6</v>
      </c>
      <c r="H170" s="49">
        <f>VLOOKUP(D170,[3]Sheet1!$E$3:$F$239,2,0)</f>
        <v>8865</v>
      </c>
      <c r="I170" s="44">
        <v>12.7</v>
      </c>
      <c r="J170" s="48"/>
      <c r="K170" s="58" t="s">
        <v>30</v>
      </c>
      <c r="L170" s="44" t="str">
        <f t="shared" si="15"/>
        <v>宽货币-宽信用</v>
      </c>
      <c r="M170" s="44" t="str">
        <f t="shared" si="13"/>
        <v>复苏</v>
      </c>
      <c r="N170" s="44" t="s">
        <v>31</v>
      </c>
      <c r="O170" s="99"/>
      <c r="P170" s="99"/>
      <c r="Q170" s="99"/>
      <c r="R170" s="99"/>
    </row>
    <row r="171" spans="1:18" ht="14">
      <c r="A171" s="45">
        <v>42675</v>
      </c>
      <c r="B171" s="46">
        <f t="shared" si="11"/>
        <v>2016</v>
      </c>
      <c r="C171" s="46">
        <f t="shared" si="12"/>
        <v>11</v>
      </c>
      <c r="D171" s="45" t="str">
        <f t="shared" si="14"/>
        <v>201611</v>
      </c>
      <c r="E171" s="50"/>
      <c r="F171" s="47" t="s">
        <v>28</v>
      </c>
      <c r="G171" s="48">
        <f>VLOOKUP(D171,[2]Sheet1!$E$3:$F$321,2,0)</f>
        <v>11.4</v>
      </c>
      <c r="H171" s="49">
        <f>VLOOKUP(D171,[3]Sheet1!$E$3:$F$239,2,0)</f>
        <v>18328</v>
      </c>
      <c r="I171" s="44">
        <v>13.3</v>
      </c>
      <c r="J171" s="48"/>
      <c r="K171" s="58" t="s">
        <v>30</v>
      </c>
      <c r="L171" s="44" t="str">
        <f t="shared" si="15"/>
        <v>宽货币-宽信用</v>
      </c>
      <c r="M171" s="44" t="str">
        <f t="shared" si="13"/>
        <v>复苏</v>
      </c>
      <c r="N171" s="44" t="s">
        <v>31</v>
      </c>
      <c r="O171" s="99"/>
      <c r="P171" s="99"/>
      <c r="Q171" s="99"/>
      <c r="R171" s="99"/>
    </row>
    <row r="172" spans="1:18" ht="72" customHeight="1">
      <c r="A172" s="45">
        <v>42705</v>
      </c>
      <c r="B172" s="46">
        <f t="shared" si="11"/>
        <v>2016</v>
      </c>
      <c r="C172" s="46">
        <f t="shared" si="12"/>
        <v>12</v>
      </c>
      <c r="D172" s="45" t="str">
        <f t="shared" si="14"/>
        <v>201612</v>
      </c>
      <c r="E172" s="50"/>
      <c r="F172" s="47" t="s">
        <v>28</v>
      </c>
      <c r="G172" s="48">
        <f>VLOOKUP(D172,[2]Sheet1!$E$3:$F$321,2,0)</f>
        <v>11.3</v>
      </c>
      <c r="H172" s="49">
        <f>VLOOKUP(D172,[3]Sheet1!$E$3:$F$239,2,0)</f>
        <v>16260</v>
      </c>
      <c r="I172" s="44">
        <v>12.8</v>
      </c>
      <c r="K172" s="58" t="s">
        <v>30</v>
      </c>
      <c r="L172" s="44" t="str">
        <f t="shared" si="15"/>
        <v>宽货币-宽信用</v>
      </c>
      <c r="M172" s="44" t="str">
        <f t="shared" si="13"/>
        <v>复苏</v>
      </c>
      <c r="N172" s="44" t="s">
        <v>31</v>
      </c>
      <c r="O172" s="99"/>
      <c r="P172" s="99"/>
      <c r="Q172" s="99"/>
      <c r="R172" s="99"/>
    </row>
    <row r="173" spans="1:18" ht="70">
      <c r="A173" s="51">
        <v>42736</v>
      </c>
      <c r="B173" s="46">
        <f t="shared" si="11"/>
        <v>2017</v>
      </c>
      <c r="C173" s="46">
        <f t="shared" si="12"/>
        <v>1</v>
      </c>
      <c r="D173" s="45" t="str">
        <f t="shared" si="14"/>
        <v>20171</v>
      </c>
      <c r="E173" s="50" t="s">
        <v>68</v>
      </c>
      <c r="F173" s="53" t="s">
        <v>34</v>
      </c>
      <c r="G173" s="48">
        <f>VLOOKUP(D173,[2]Sheet1!$E$3:$F$321,2,0)</f>
        <v>10.7</v>
      </c>
      <c r="H173" s="49">
        <f>VLOOKUP(D173,[3]Sheet1!$E$3:$F$239,2,0)</f>
        <v>37720.076978999998</v>
      </c>
      <c r="I173" s="70">
        <v>16.411026</v>
      </c>
      <c r="J173" s="71" t="s">
        <v>69</v>
      </c>
      <c r="K173" s="58" t="s">
        <v>30</v>
      </c>
      <c r="L173" s="44" t="str">
        <f t="shared" si="15"/>
        <v>紧货币-宽信用</v>
      </c>
      <c r="M173" s="44" t="str">
        <f t="shared" si="13"/>
        <v>过热</v>
      </c>
      <c r="N173" s="44" t="s">
        <v>31</v>
      </c>
      <c r="O173" s="100"/>
      <c r="P173" s="100"/>
      <c r="Q173" s="100"/>
      <c r="R173" s="100"/>
    </row>
    <row r="174" spans="1:18" ht="14">
      <c r="A174" s="45">
        <v>42767</v>
      </c>
      <c r="B174" s="46">
        <f t="shared" si="11"/>
        <v>2017</v>
      </c>
      <c r="C174" s="46">
        <f t="shared" si="12"/>
        <v>2</v>
      </c>
      <c r="D174" s="45" t="str">
        <f t="shared" si="14"/>
        <v>20172</v>
      </c>
      <c r="E174" s="50"/>
      <c r="F174" s="53" t="s">
        <v>34</v>
      </c>
      <c r="G174" s="48">
        <f>VLOOKUP(D174,[2]Sheet1!$E$3:$F$321,2,0)</f>
        <v>10.4</v>
      </c>
      <c r="H174" s="49">
        <f>VLOOKUP(D174,[3]Sheet1!$E$3:$F$239,2,0)</f>
        <v>11055.322109000001</v>
      </c>
      <c r="I174" s="70">
        <v>16.383288</v>
      </c>
      <c r="J174" s="48"/>
      <c r="K174" s="65" t="s">
        <v>37</v>
      </c>
      <c r="L174" s="44" t="str">
        <f t="shared" si="15"/>
        <v>紧货币-紧信用</v>
      </c>
      <c r="M174" s="44" t="str">
        <f t="shared" si="13"/>
        <v>滞涨</v>
      </c>
      <c r="N174" s="44" t="s">
        <v>38</v>
      </c>
      <c r="O174" s="97"/>
      <c r="P174" s="97"/>
      <c r="Q174" s="97"/>
      <c r="R174" s="97"/>
    </row>
    <row r="175" spans="1:18" ht="14">
      <c r="A175" s="45">
        <v>42795</v>
      </c>
      <c r="B175" s="46">
        <f t="shared" si="11"/>
        <v>2017</v>
      </c>
      <c r="C175" s="46">
        <f t="shared" si="12"/>
        <v>3</v>
      </c>
      <c r="D175" s="45" t="str">
        <f t="shared" si="14"/>
        <v>20173</v>
      </c>
      <c r="E175" s="50"/>
      <c r="F175" s="53" t="s">
        <v>34</v>
      </c>
      <c r="G175" s="48">
        <f>VLOOKUP(D175,[2]Sheet1!$E$3:$F$321,2,0)</f>
        <v>10.1</v>
      </c>
      <c r="H175" s="49">
        <f>VLOOKUP(D175,[3]Sheet1!$E$3:$F$239,2,0)</f>
        <v>25471.639557999999</v>
      </c>
      <c r="I175" s="70">
        <v>15.710338</v>
      </c>
      <c r="J175" s="48"/>
      <c r="K175" s="65" t="s">
        <v>37</v>
      </c>
      <c r="L175" s="44" t="str">
        <f t="shared" si="15"/>
        <v>紧货币-紧信用</v>
      </c>
      <c r="M175" s="44" t="str">
        <f t="shared" si="13"/>
        <v>滞涨</v>
      </c>
      <c r="N175" s="44" t="s">
        <v>38</v>
      </c>
      <c r="O175" s="97"/>
      <c r="P175" s="97"/>
      <c r="Q175" s="97"/>
      <c r="R175" s="97"/>
    </row>
    <row r="176" spans="1:18" ht="14">
      <c r="A176" s="45">
        <v>42826</v>
      </c>
      <c r="B176" s="46">
        <f t="shared" si="11"/>
        <v>2017</v>
      </c>
      <c r="C176" s="46">
        <f t="shared" si="12"/>
        <v>4</v>
      </c>
      <c r="D176" s="45" t="str">
        <f t="shared" si="14"/>
        <v>20174</v>
      </c>
      <c r="E176" s="50"/>
      <c r="F176" s="53" t="s">
        <v>34</v>
      </c>
      <c r="G176" s="48">
        <f>VLOOKUP(D176,[2]Sheet1!$E$3:$F$321,2,0)</f>
        <v>9.8000000000000007</v>
      </c>
      <c r="H176" s="49">
        <f>VLOOKUP(D176,[3]Sheet1!$E$3:$F$239,2,0)</f>
        <v>19558.923770000001</v>
      </c>
      <c r="I176" s="70">
        <v>15.501042999999999</v>
      </c>
      <c r="J176" s="48"/>
      <c r="K176" s="65" t="s">
        <v>37</v>
      </c>
      <c r="L176" s="44" t="str">
        <f t="shared" si="15"/>
        <v>紧货币-紧信用</v>
      </c>
      <c r="M176" s="44" t="str">
        <f t="shared" si="13"/>
        <v>滞涨</v>
      </c>
      <c r="N176" s="44" t="s">
        <v>38</v>
      </c>
      <c r="O176" s="97"/>
      <c r="P176" s="97"/>
      <c r="Q176" s="97"/>
      <c r="R176" s="97"/>
    </row>
    <row r="177" spans="1:18" ht="15">
      <c r="A177" s="45">
        <v>42856</v>
      </c>
      <c r="B177" s="46">
        <f t="shared" si="11"/>
        <v>2017</v>
      </c>
      <c r="C177" s="46">
        <f t="shared" si="12"/>
        <v>5</v>
      </c>
      <c r="D177" s="45" t="str">
        <f t="shared" si="14"/>
        <v>20175</v>
      </c>
      <c r="E177" s="52" t="s">
        <v>49</v>
      </c>
      <c r="F177" s="53" t="s">
        <v>34</v>
      </c>
      <c r="G177" s="48">
        <f>VLOOKUP(D177,[2]Sheet1!$E$3:$F$321,2,0)</f>
        <v>9.1</v>
      </c>
      <c r="H177" s="49">
        <f>VLOOKUP(D177,[3]Sheet1!$E$3:$F$239,2,0)</f>
        <v>17811.732937000001</v>
      </c>
      <c r="I177" s="70">
        <v>15.503387</v>
      </c>
      <c r="J177" s="48"/>
      <c r="K177" s="65" t="s">
        <v>37</v>
      </c>
      <c r="L177" s="44" t="str">
        <f t="shared" si="15"/>
        <v>紧货币-紧信用</v>
      </c>
      <c r="M177" s="44" t="str">
        <f t="shared" si="13"/>
        <v>滞涨</v>
      </c>
      <c r="N177" s="44" t="s">
        <v>38</v>
      </c>
      <c r="O177" s="97"/>
      <c r="P177" s="97"/>
      <c r="Q177" s="97"/>
      <c r="R177" s="97"/>
    </row>
    <row r="178" spans="1:18" ht="14">
      <c r="A178" s="45">
        <v>42887</v>
      </c>
      <c r="B178" s="46">
        <f t="shared" si="11"/>
        <v>2017</v>
      </c>
      <c r="C178" s="46">
        <f t="shared" si="12"/>
        <v>6</v>
      </c>
      <c r="D178" s="45" t="str">
        <f t="shared" si="14"/>
        <v>20176</v>
      </c>
      <c r="E178" s="50"/>
      <c r="F178" s="53" t="s">
        <v>34</v>
      </c>
      <c r="G178" s="48">
        <f>VLOOKUP(D178,[2]Sheet1!$E$3:$F$321,2,0)</f>
        <v>9.1</v>
      </c>
      <c r="H178" s="49">
        <f>VLOOKUP(D178,[3]Sheet1!$E$3:$F$239,2,0)</f>
        <v>25885.910952999999</v>
      </c>
      <c r="I178" s="70">
        <v>14.917823</v>
      </c>
      <c r="J178" s="48"/>
      <c r="K178" s="65" t="s">
        <v>37</v>
      </c>
      <c r="L178" s="44" t="str">
        <f t="shared" si="15"/>
        <v>紧货币-紧信用</v>
      </c>
      <c r="M178" s="44" t="str">
        <f t="shared" si="13"/>
        <v>滞涨</v>
      </c>
      <c r="N178" s="44" t="s">
        <v>38</v>
      </c>
      <c r="O178" s="97"/>
      <c r="P178" s="97"/>
      <c r="Q178" s="97"/>
      <c r="R178" s="97"/>
    </row>
    <row r="179" spans="1:18" ht="14">
      <c r="A179" s="45">
        <v>42917</v>
      </c>
      <c r="B179" s="46">
        <f t="shared" si="11"/>
        <v>2017</v>
      </c>
      <c r="C179" s="46">
        <f t="shared" si="12"/>
        <v>7</v>
      </c>
      <c r="D179" s="45" t="str">
        <f t="shared" si="14"/>
        <v>20177</v>
      </c>
      <c r="E179" s="50"/>
      <c r="F179" s="53" t="s">
        <v>34</v>
      </c>
      <c r="G179" s="48">
        <f>VLOOKUP(D179,[2]Sheet1!$E$3:$F$321,2,0)</f>
        <v>8.9</v>
      </c>
      <c r="H179" s="49">
        <f>VLOOKUP(D179,[3]Sheet1!$E$3:$F$239,2,0)</f>
        <v>21188.106567999999</v>
      </c>
      <c r="I179" s="70">
        <v>15.542253000000001</v>
      </c>
      <c r="J179" s="48"/>
      <c r="K179" s="65" t="s">
        <v>37</v>
      </c>
      <c r="L179" s="44" t="str">
        <f t="shared" si="15"/>
        <v>紧货币-紧信用</v>
      </c>
      <c r="M179" s="44" t="str">
        <f t="shared" si="13"/>
        <v>滞涨</v>
      </c>
      <c r="N179" s="44" t="s">
        <v>38</v>
      </c>
      <c r="O179" s="97"/>
      <c r="P179" s="97"/>
      <c r="Q179" s="97"/>
      <c r="R179" s="97"/>
    </row>
    <row r="180" spans="1:18" ht="14">
      <c r="A180" s="45">
        <v>42948</v>
      </c>
      <c r="B180" s="46">
        <f t="shared" si="11"/>
        <v>2017</v>
      </c>
      <c r="C180" s="46">
        <f t="shared" si="12"/>
        <v>8</v>
      </c>
      <c r="D180" s="45" t="str">
        <f t="shared" si="14"/>
        <v>20178</v>
      </c>
      <c r="E180" s="50"/>
      <c r="F180" s="53" t="s">
        <v>34</v>
      </c>
      <c r="G180" s="48">
        <f>VLOOKUP(D180,[2]Sheet1!$E$3:$F$321,2,0)</f>
        <v>8.6</v>
      </c>
      <c r="H180" s="49">
        <f>VLOOKUP(D180,[3]Sheet1!$E$3:$F$239,2,0)</f>
        <v>20485.507710000002</v>
      </c>
      <c r="I180" s="70">
        <v>15.112273</v>
      </c>
      <c r="J180" s="48"/>
      <c r="K180" s="65" t="s">
        <v>37</v>
      </c>
      <c r="L180" s="44" t="str">
        <f t="shared" si="15"/>
        <v>紧货币-紧信用</v>
      </c>
      <c r="M180" s="44" t="str">
        <f t="shared" si="13"/>
        <v>滞涨</v>
      </c>
      <c r="N180" s="44" t="s">
        <v>38</v>
      </c>
      <c r="O180" s="97"/>
      <c r="P180" s="97"/>
      <c r="Q180" s="97"/>
      <c r="R180" s="97"/>
    </row>
    <row r="181" spans="1:18" ht="14">
      <c r="A181" s="45">
        <v>42979</v>
      </c>
      <c r="B181" s="46">
        <f t="shared" si="11"/>
        <v>2017</v>
      </c>
      <c r="C181" s="46">
        <f t="shared" si="12"/>
        <v>9</v>
      </c>
      <c r="D181" s="45" t="str">
        <f t="shared" si="14"/>
        <v>20179</v>
      </c>
      <c r="E181" s="50"/>
      <c r="F181" s="53" t="s">
        <v>34</v>
      </c>
      <c r="G181" s="48">
        <f>VLOOKUP(D181,[2]Sheet1!$E$3:$F$321,2,0)</f>
        <v>9</v>
      </c>
      <c r="H181" s="49">
        <f>VLOOKUP(D181,[3]Sheet1!$E$3:$F$239,2,0)</f>
        <v>25438.606938000001</v>
      </c>
      <c r="I181" s="70">
        <v>14.888994</v>
      </c>
      <c r="J181" s="48"/>
      <c r="K181" s="65" t="s">
        <v>37</v>
      </c>
      <c r="L181" s="44" t="str">
        <f t="shared" si="15"/>
        <v>紧货币-紧信用</v>
      </c>
      <c r="M181" s="44" t="str">
        <f t="shared" si="13"/>
        <v>滞涨</v>
      </c>
      <c r="N181" s="44" t="s">
        <v>38</v>
      </c>
      <c r="O181" s="97"/>
      <c r="P181" s="97"/>
      <c r="Q181" s="97"/>
      <c r="R181" s="97"/>
    </row>
    <row r="182" spans="1:18" ht="14">
      <c r="A182" s="45">
        <v>43009</v>
      </c>
      <c r="B182" s="46">
        <f t="shared" si="11"/>
        <v>2017</v>
      </c>
      <c r="C182" s="46">
        <f t="shared" si="12"/>
        <v>10</v>
      </c>
      <c r="D182" s="45" t="str">
        <f t="shared" si="14"/>
        <v>201710</v>
      </c>
      <c r="E182" s="50"/>
      <c r="F182" s="53" t="s">
        <v>34</v>
      </c>
      <c r="G182" s="48">
        <f>VLOOKUP(D182,[2]Sheet1!$E$3:$F$321,2,0)</f>
        <v>8.9</v>
      </c>
      <c r="H182" s="49">
        <f>VLOOKUP(D182,[3]Sheet1!$E$3:$F$239,2,0)</f>
        <v>15861.15144</v>
      </c>
      <c r="I182" s="70">
        <v>14.955353000000001</v>
      </c>
      <c r="J182" s="48"/>
      <c r="K182" s="65" t="s">
        <v>37</v>
      </c>
      <c r="L182" s="44" t="str">
        <f t="shared" si="15"/>
        <v>紧货币-紧信用</v>
      </c>
      <c r="M182" s="44" t="str">
        <f t="shared" si="13"/>
        <v>滞涨</v>
      </c>
      <c r="N182" s="44" t="s">
        <v>38</v>
      </c>
      <c r="O182" s="97"/>
      <c r="P182" s="97"/>
      <c r="Q182" s="97"/>
      <c r="R182" s="97"/>
    </row>
    <row r="183" spans="1:18" ht="14">
      <c r="A183" s="45">
        <v>43040</v>
      </c>
      <c r="B183" s="46">
        <f t="shared" si="11"/>
        <v>2017</v>
      </c>
      <c r="C183" s="46">
        <f t="shared" si="12"/>
        <v>11</v>
      </c>
      <c r="D183" s="45" t="str">
        <f t="shared" si="14"/>
        <v>201711</v>
      </c>
      <c r="E183" s="50"/>
      <c r="F183" s="53" t="s">
        <v>34</v>
      </c>
      <c r="G183" s="48">
        <f>VLOOKUP(D183,[2]Sheet1!$E$3:$F$321,2,0)</f>
        <v>9.1</v>
      </c>
      <c r="H183" s="49">
        <f>VLOOKUP(D183,[3]Sheet1!$E$3:$F$239,2,0)</f>
        <v>22955.981253999998</v>
      </c>
      <c r="I183" s="70">
        <v>14.492229</v>
      </c>
      <c r="J183" s="48"/>
      <c r="K183" s="65" t="s">
        <v>37</v>
      </c>
      <c r="L183" s="44" t="str">
        <f t="shared" si="15"/>
        <v>紧货币-紧信用</v>
      </c>
      <c r="M183" s="44" t="str">
        <f t="shared" si="13"/>
        <v>滞涨</v>
      </c>
      <c r="N183" s="44" t="s">
        <v>38</v>
      </c>
      <c r="O183" s="97"/>
      <c r="P183" s="97"/>
      <c r="Q183" s="97"/>
      <c r="R183" s="97"/>
    </row>
    <row r="184" spans="1:18" ht="14">
      <c r="A184" s="45">
        <v>43070</v>
      </c>
      <c r="B184" s="46">
        <f t="shared" si="11"/>
        <v>2017</v>
      </c>
      <c r="C184" s="46">
        <f t="shared" si="12"/>
        <v>12</v>
      </c>
      <c r="D184" s="45" t="str">
        <f t="shared" si="14"/>
        <v>201712</v>
      </c>
      <c r="E184" s="50"/>
      <c r="F184" s="53" t="s">
        <v>34</v>
      </c>
      <c r="G184" s="48">
        <f>VLOOKUP(D184,[2]Sheet1!$E$3:$F$321,2,0)</f>
        <v>8.1</v>
      </c>
      <c r="H184" s="49">
        <f>VLOOKUP(D184,[3]Sheet1!$E$3:$F$239,2,0)</f>
        <v>18102.882549999998</v>
      </c>
      <c r="I184" s="70">
        <v>14.081822000000001</v>
      </c>
      <c r="J184" s="48"/>
      <c r="K184" s="65" t="s">
        <v>37</v>
      </c>
      <c r="L184" s="44" t="str">
        <f t="shared" si="15"/>
        <v>紧货币-紧信用</v>
      </c>
      <c r="M184" s="44" t="str">
        <f t="shared" si="13"/>
        <v>滞涨</v>
      </c>
      <c r="N184" s="44" t="s">
        <v>38</v>
      </c>
      <c r="O184" s="97"/>
      <c r="P184" s="97"/>
      <c r="Q184" s="97"/>
      <c r="R184" s="97"/>
    </row>
    <row r="185" spans="1:18" ht="14">
      <c r="A185" s="45">
        <v>43101</v>
      </c>
      <c r="B185" s="46">
        <f t="shared" si="11"/>
        <v>2018</v>
      </c>
      <c r="C185" s="46">
        <f t="shared" si="12"/>
        <v>1</v>
      </c>
      <c r="D185" s="45" t="str">
        <f t="shared" si="14"/>
        <v>20181</v>
      </c>
      <c r="E185" s="50"/>
      <c r="F185" s="53" t="s">
        <v>34</v>
      </c>
      <c r="G185" s="48">
        <f>VLOOKUP(D185,[2]Sheet1!$E$3:$F$321,2,0)</f>
        <v>8.6</v>
      </c>
      <c r="H185" s="49">
        <f>VLOOKUP(D185,[3]Sheet1!$E$3:$F$239,2,0)</f>
        <v>31417.220554</v>
      </c>
      <c r="I185" s="70">
        <v>13.433579</v>
      </c>
      <c r="J185" s="48"/>
      <c r="K185" s="65" t="s">
        <v>37</v>
      </c>
      <c r="L185" s="44" t="str">
        <f t="shared" si="15"/>
        <v>紧货币-紧信用</v>
      </c>
      <c r="M185" s="44" t="str">
        <f t="shared" si="13"/>
        <v>滞涨</v>
      </c>
      <c r="N185" s="44" t="s">
        <v>38</v>
      </c>
      <c r="O185" s="97"/>
      <c r="P185" s="97"/>
      <c r="Q185" s="97"/>
      <c r="R185" s="97"/>
    </row>
    <row r="186" spans="1:18" ht="14">
      <c r="A186" s="45">
        <v>43132</v>
      </c>
      <c r="B186" s="46">
        <f t="shared" si="11"/>
        <v>2018</v>
      </c>
      <c r="C186" s="46">
        <f t="shared" si="12"/>
        <v>2</v>
      </c>
      <c r="D186" s="45" t="str">
        <f t="shared" si="14"/>
        <v>20182</v>
      </c>
      <c r="E186" s="50"/>
      <c r="F186" s="53" t="s">
        <v>34</v>
      </c>
      <c r="G186" s="48">
        <f>VLOOKUP(D186,[2]Sheet1!$E$3:$F$321,2,0)</f>
        <v>8.8000000000000007</v>
      </c>
      <c r="H186" s="49">
        <f>VLOOKUP(D186,[3]Sheet1!$E$3:$F$239,2,0)</f>
        <v>12064.387925000001</v>
      </c>
      <c r="I186" s="70">
        <v>13.388316</v>
      </c>
      <c r="J186" s="48"/>
      <c r="K186" s="65" t="s">
        <v>37</v>
      </c>
      <c r="L186" s="44" t="str">
        <f t="shared" si="15"/>
        <v>紧货币-紧信用</v>
      </c>
      <c r="M186" s="44" t="str">
        <f t="shared" si="13"/>
        <v>滞涨</v>
      </c>
      <c r="N186" s="44" t="s">
        <v>38</v>
      </c>
      <c r="O186" s="97"/>
      <c r="P186" s="97"/>
      <c r="Q186" s="97"/>
      <c r="R186" s="97"/>
    </row>
    <row r="187" spans="1:18" ht="14">
      <c r="A187" s="45">
        <v>43160</v>
      </c>
      <c r="B187" s="46">
        <f t="shared" si="11"/>
        <v>2018</v>
      </c>
      <c r="C187" s="46">
        <f t="shared" si="12"/>
        <v>3</v>
      </c>
      <c r="D187" s="45" t="str">
        <f t="shared" si="14"/>
        <v>20183</v>
      </c>
      <c r="E187" s="68"/>
      <c r="F187" s="53" t="s">
        <v>34</v>
      </c>
      <c r="G187" s="48">
        <f>VLOOKUP(D187,[2]Sheet1!$E$3:$F$321,2,0)</f>
        <v>8.1999999999999993</v>
      </c>
      <c r="H187" s="49">
        <f>VLOOKUP(D187,[3]Sheet1!$E$3:$F$239,2,0)</f>
        <v>17091.476698999999</v>
      </c>
      <c r="I187" s="70">
        <v>12.690308</v>
      </c>
      <c r="J187" s="48"/>
      <c r="K187" s="65" t="s">
        <v>37</v>
      </c>
      <c r="L187" s="44" t="str">
        <f t="shared" si="15"/>
        <v>紧货币-紧信用</v>
      </c>
      <c r="M187" s="44" t="str">
        <f t="shared" si="13"/>
        <v>滞涨</v>
      </c>
      <c r="N187" s="44" t="s">
        <v>38</v>
      </c>
      <c r="O187" s="97"/>
      <c r="P187" s="97"/>
      <c r="Q187" s="97"/>
      <c r="R187" s="97"/>
    </row>
    <row r="188" spans="1:18" ht="56">
      <c r="A188" s="51">
        <v>43191</v>
      </c>
      <c r="B188" s="46">
        <f t="shared" si="11"/>
        <v>2018</v>
      </c>
      <c r="C188" s="46">
        <f t="shared" si="12"/>
        <v>4</v>
      </c>
      <c r="D188" s="45" t="str">
        <f t="shared" si="14"/>
        <v>20184</v>
      </c>
      <c r="E188" s="68" t="s">
        <v>70</v>
      </c>
      <c r="F188" s="53" t="s">
        <v>34</v>
      </c>
      <c r="G188" s="48">
        <f>VLOOKUP(D188,[2]Sheet1!$E$3:$F$321,2,0)</f>
        <v>8.3000000000000007</v>
      </c>
      <c r="H188" s="49">
        <f>VLOOKUP(D188,[3]Sheet1!$E$3:$F$239,2,0)</f>
        <v>22242.940548999999</v>
      </c>
      <c r="I188" s="70">
        <v>12.652969000000001</v>
      </c>
      <c r="J188" s="48"/>
      <c r="K188" s="65" t="s">
        <v>37</v>
      </c>
      <c r="L188" s="44" t="str">
        <f t="shared" si="15"/>
        <v>紧货币-紧信用</v>
      </c>
      <c r="M188" s="44" t="str">
        <f t="shared" si="13"/>
        <v>滞涨</v>
      </c>
      <c r="N188" s="44" t="s">
        <v>38</v>
      </c>
      <c r="O188" s="97"/>
      <c r="P188" s="97"/>
      <c r="Q188" s="97"/>
      <c r="R188" s="97"/>
    </row>
    <row r="189" spans="1:18" ht="15">
      <c r="A189" s="45">
        <v>43221</v>
      </c>
      <c r="B189" s="46">
        <f t="shared" si="11"/>
        <v>2018</v>
      </c>
      <c r="C189" s="46">
        <f t="shared" si="12"/>
        <v>5</v>
      </c>
      <c r="D189" s="45" t="str">
        <f t="shared" si="14"/>
        <v>20185</v>
      </c>
      <c r="E189" s="52" t="s">
        <v>46</v>
      </c>
      <c r="F189" s="47" t="s">
        <v>28</v>
      </c>
      <c r="G189" s="48">
        <f>VLOOKUP(D189,[2]Sheet1!$E$3:$F$321,2,0)</f>
        <v>8.3000000000000007</v>
      </c>
      <c r="H189" s="49">
        <f>VLOOKUP(D189,[3]Sheet1!$E$3:$F$239,2,0)</f>
        <v>11233.624451</v>
      </c>
      <c r="I189" s="70">
        <v>12.199076</v>
      </c>
      <c r="J189" s="48"/>
      <c r="K189" s="65" t="s">
        <v>37</v>
      </c>
      <c r="L189" s="44" t="str">
        <f t="shared" si="15"/>
        <v>宽货币-紧信用</v>
      </c>
      <c r="M189" s="44" t="str">
        <f t="shared" si="13"/>
        <v>萧条</v>
      </c>
      <c r="N189" s="44" t="s">
        <v>40</v>
      </c>
      <c r="O189" s="97"/>
      <c r="P189" s="97"/>
      <c r="Q189" s="97"/>
      <c r="R189" s="97"/>
    </row>
    <row r="190" spans="1:18" ht="42">
      <c r="A190" s="45">
        <v>43252</v>
      </c>
      <c r="B190" s="46">
        <f t="shared" si="11"/>
        <v>2018</v>
      </c>
      <c r="C190" s="46">
        <f t="shared" si="12"/>
        <v>6</v>
      </c>
      <c r="D190" s="45" t="str">
        <f t="shared" si="14"/>
        <v>20186</v>
      </c>
      <c r="E190" s="55" t="s">
        <v>71</v>
      </c>
      <c r="F190" s="47" t="s">
        <v>28</v>
      </c>
      <c r="G190" s="48">
        <f>VLOOKUP(D190,[2]Sheet1!$E$3:$F$321,2,0)</f>
        <v>8</v>
      </c>
      <c r="H190" s="49">
        <f>VLOOKUP(D190,[3]Sheet1!$E$3:$F$239,2,0)</f>
        <v>20372.964614</v>
      </c>
      <c r="I190" s="70">
        <v>11.76127</v>
      </c>
      <c r="J190" s="48"/>
      <c r="K190" s="65" t="s">
        <v>37</v>
      </c>
      <c r="L190" s="44" t="str">
        <f t="shared" si="15"/>
        <v>宽货币-紧信用</v>
      </c>
      <c r="M190" s="44" t="str">
        <f t="shared" si="13"/>
        <v>萧条</v>
      </c>
      <c r="N190" s="44" t="s">
        <v>40</v>
      </c>
      <c r="O190" s="97"/>
      <c r="P190" s="97"/>
      <c r="Q190" s="97"/>
      <c r="R190" s="97"/>
    </row>
    <row r="191" spans="1:18" ht="15">
      <c r="A191" s="45">
        <v>43282</v>
      </c>
      <c r="B191" s="46">
        <f t="shared" si="11"/>
        <v>2018</v>
      </c>
      <c r="C191" s="46">
        <f t="shared" si="12"/>
        <v>7</v>
      </c>
      <c r="D191" s="45" t="str">
        <f t="shared" si="14"/>
        <v>20187</v>
      </c>
      <c r="E191" s="52" t="s">
        <v>72</v>
      </c>
      <c r="F191" s="47" t="s">
        <v>28</v>
      </c>
      <c r="G191" s="48">
        <f>VLOOKUP(D191,[2]Sheet1!$E$3:$F$321,2,0)</f>
        <v>8.5</v>
      </c>
      <c r="H191" s="49">
        <f>VLOOKUP(D191,[3]Sheet1!$E$3:$F$239,2,0)</f>
        <v>18381.941956999999</v>
      </c>
      <c r="I191" s="70">
        <v>11.485086000000001</v>
      </c>
      <c r="J191" s="48"/>
      <c r="K191" s="65" t="s">
        <v>37</v>
      </c>
      <c r="L191" s="44" t="str">
        <f t="shared" si="15"/>
        <v>宽货币-紧信用</v>
      </c>
      <c r="M191" s="44" t="str">
        <f t="shared" si="13"/>
        <v>萧条</v>
      </c>
      <c r="N191" s="44" t="s">
        <v>40</v>
      </c>
      <c r="O191" s="97"/>
      <c r="P191" s="97"/>
      <c r="Q191" s="97"/>
      <c r="R191" s="97"/>
    </row>
    <row r="192" spans="1:18" ht="14">
      <c r="A192" s="45">
        <v>43313</v>
      </c>
      <c r="B192" s="46">
        <f t="shared" si="11"/>
        <v>2018</v>
      </c>
      <c r="C192" s="46">
        <f t="shared" si="12"/>
        <v>8</v>
      </c>
      <c r="D192" s="45" t="str">
        <f t="shared" si="14"/>
        <v>20188</v>
      </c>
      <c r="E192" s="50"/>
      <c r="F192" s="47" t="s">
        <v>28</v>
      </c>
      <c r="G192" s="48">
        <f>VLOOKUP(D192,[2]Sheet1!$E$3:$F$321,2,0)</f>
        <v>8.1999999999999993</v>
      </c>
      <c r="H192" s="49">
        <f>VLOOKUP(D192,[3]Sheet1!$E$3:$F$239,2,0)</f>
        <v>24078.248887999998</v>
      </c>
      <c r="I192" s="70">
        <v>11.516139000000001</v>
      </c>
      <c r="J192" s="48"/>
      <c r="K192" s="65" t="s">
        <v>37</v>
      </c>
      <c r="L192" s="44" t="str">
        <f t="shared" si="15"/>
        <v>宽货币-紧信用</v>
      </c>
      <c r="M192" s="44" t="str">
        <f t="shared" si="13"/>
        <v>萧条</v>
      </c>
      <c r="N192" s="44" t="s">
        <v>40</v>
      </c>
      <c r="O192" s="97"/>
      <c r="P192" s="97"/>
      <c r="Q192" s="97"/>
      <c r="R192" s="97"/>
    </row>
    <row r="193" spans="1:18" ht="60" customHeight="1">
      <c r="A193" s="45">
        <v>43344</v>
      </c>
      <c r="B193" s="46">
        <f t="shared" si="11"/>
        <v>2018</v>
      </c>
      <c r="C193" s="46">
        <f t="shared" si="12"/>
        <v>9</v>
      </c>
      <c r="D193" s="45" t="str">
        <f t="shared" si="14"/>
        <v>20189</v>
      </c>
      <c r="E193" s="55"/>
      <c r="F193" s="47" t="s">
        <v>28</v>
      </c>
      <c r="G193" s="48">
        <f>VLOOKUP(D193,[2]Sheet1!$E$3:$F$321,2,0)</f>
        <v>8.3000000000000007</v>
      </c>
      <c r="H193" s="49">
        <f>VLOOKUP(D193,[3]Sheet1!$E$3:$F$239,2,0)</f>
        <v>23061.250118</v>
      </c>
      <c r="I193" s="70">
        <v>11.208432999999999</v>
      </c>
      <c r="J193" s="48"/>
      <c r="K193" s="65" t="s">
        <v>37</v>
      </c>
      <c r="L193" s="44" t="str">
        <f t="shared" si="15"/>
        <v>宽货币-紧信用</v>
      </c>
      <c r="M193" s="44" t="str">
        <f t="shared" si="13"/>
        <v>萧条</v>
      </c>
      <c r="N193" s="44" t="s">
        <v>40</v>
      </c>
      <c r="O193" s="97"/>
      <c r="P193" s="97"/>
      <c r="Q193" s="97"/>
      <c r="R193" s="97"/>
    </row>
    <row r="194" spans="1:18" ht="70">
      <c r="A194" s="45">
        <v>43374</v>
      </c>
      <c r="B194" s="46">
        <f t="shared" si="11"/>
        <v>2018</v>
      </c>
      <c r="C194" s="46">
        <f t="shared" si="12"/>
        <v>10</v>
      </c>
      <c r="D194" s="45" t="str">
        <f t="shared" si="14"/>
        <v>201810</v>
      </c>
      <c r="E194" s="72" t="s">
        <v>73</v>
      </c>
      <c r="F194" s="47" t="s">
        <v>28</v>
      </c>
      <c r="G194" s="48">
        <f>VLOOKUP(D194,[2]Sheet1!$E$3:$F$321,2,0)</f>
        <v>8</v>
      </c>
      <c r="H194" s="49">
        <f>VLOOKUP(D194,[3]Sheet1!$E$3:$F$239,2,0)</f>
        <v>9537.8029869999991</v>
      </c>
      <c r="I194" s="70">
        <v>10.789977</v>
      </c>
      <c r="J194" s="48"/>
      <c r="K194" s="65" t="s">
        <v>37</v>
      </c>
      <c r="L194" s="44" t="str">
        <f t="shared" si="15"/>
        <v>宽货币-紧信用</v>
      </c>
      <c r="M194" s="44" t="str">
        <f t="shared" si="13"/>
        <v>萧条</v>
      </c>
      <c r="N194" s="44" t="s">
        <v>40</v>
      </c>
      <c r="O194" s="97"/>
      <c r="P194" s="97"/>
      <c r="Q194" s="97"/>
      <c r="R194" s="97"/>
    </row>
    <row r="195" spans="1:18" ht="30" customHeight="1">
      <c r="A195" s="45">
        <v>43405</v>
      </c>
      <c r="B195" s="46">
        <f t="shared" si="11"/>
        <v>2018</v>
      </c>
      <c r="C195" s="46">
        <f t="shared" si="12"/>
        <v>11</v>
      </c>
      <c r="D195" s="45" t="str">
        <f t="shared" si="14"/>
        <v>201811</v>
      </c>
      <c r="E195" s="50"/>
      <c r="F195" s="47" t="s">
        <v>28</v>
      </c>
      <c r="G195" s="48">
        <f>VLOOKUP(D195,[2]Sheet1!$E$3:$F$321,2,0)</f>
        <v>8</v>
      </c>
      <c r="H195" s="49">
        <f>VLOOKUP(D195,[3]Sheet1!$E$3:$F$239,2,0)</f>
        <v>16127.165255</v>
      </c>
      <c r="I195" s="70">
        <v>10.307183</v>
      </c>
      <c r="J195" s="48"/>
      <c r="K195" s="65" t="s">
        <v>37</v>
      </c>
      <c r="L195" s="44" t="str">
        <f t="shared" si="15"/>
        <v>宽货币-紧信用</v>
      </c>
      <c r="M195" s="44" t="str">
        <f t="shared" si="13"/>
        <v>萧条</v>
      </c>
      <c r="N195" s="44" t="s">
        <v>40</v>
      </c>
      <c r="O195" s="97"/>
      <c r="P195" s="97"/>
      <c r="Q195" s="97"/>
      <c r="R195" s="97"/>
    </row>
    <row r="196" spans="1:18" ht="46" customHeight="1">
      <c r="A196" s="45">
        <v>43435</v>
      </c>
      <c r="B196" s="46">
        <f t="shared" si="11"/>
        <v>2018</v>
      </c>
      <c r="C196" s="46">
        <f t="shared" si="12"/>
        <v>12</v>
      </c>
      <c r="D196" s="45" t="str">
        <f t="shared" si="14"/>
        <v>201812</v>
      </c>
      <c r="E196" s="50"/>
      <c r="F196" s="47" t="s">
        <v>28</v>
      </c>
      <c r="G196" s="48">
        <f>VLOOKUP(D196,[2]Sheet1!$E$3:$F$321,2,0)</f>
        <v>8.1</v>
      </c>
      <c r="H196" s="49">
        <f>VLOOKUP(D196,[3]Sheet1!$E$3:$F$239,2,0)</f>
        <v>19311.174083000002</v>
      </c>
      <c r="I196" s="70">
        <v>10.259731</v>
      </c>
      <c r="J196" s="81" t="s">
        <v>74</v>
      </c>
      <c r="K196" s="65" t="s">
        <v>37</v>
      </c>
      <c r="L196" s="44" t="str">
        <f t="shared" si="15"/>
        <v>宽货币-紧信用</v>
      </c>
      <c r="M196" s="44" t="str">
        <f t="shared" si="13"/>
        <v>萧条</v>
      </c>
      <c r="N196" s="44" t="s">
        <v>40</v>
      </c>
      <c r="O196" s="97"/>
      <c r="P196" s="97"/>
      <c r="Q196" s="97"/>
      <c r="R196" s="97"/>
    </row>
    <row r="197" spans="1:18" ht="56">
      <c r="A197" s="45">
        <v>43466</v>
      </c>
      <c r="B197" s="46">
        <f t="shared" ref="B197:B229" si="16">YEAR(A197)</f>
        <v>2019</v>
      </c>
      <c r="C197" s="46">
        <f t="shared" ref="C197:C229" si="17">MONTH(A197)</f>
        <v>1</v>
      </c>
      <c r="D197" s="45" t="str">
        <f t="shared" si="14"/>
        <v>20191</v>
      </c>
      <c r="E197" s="72" t="s">
        <v>75</v>
      </c>
      <c r="F197" s="47" t="s">
        <v>28</v>
      </c>
      <c r="G197" s="48">
        <f>VLOOKUP(D197,[2]Sheet1!$E$3:$F$321,2,0)</f>
        <v>8.4</v>
      </c>
      <c r="H197" s="49">
        <f>VLOOKUP(D197,[3]Sheet1!$E$3:$F$239,2,0)</f>
        <v>46791.139268999999</v>
      </c>
      <c r="I197" s="70">
        <v>10.851788000000001</v>
      </c>
      <c r="J197" s="48"/>
      <c r="K197" s="58" t="s">
        <v>30</v>
      </c>
      <c r="L197" s="44" t="str">
        <f t="shared" si="15"/>
        <v>宽货币-宽信用</v>
      </c>
      <c r="M197" s="44" t="str">
        <f t="shared" ref="M197:M229" si="18">_xlfn.IFS(L197="宽货币-宽信用","复苏",L197="紧货币-宽信用","过热",L197="紧货币-紧信用","滞涨",L197="宽货币-紧信用","萧条")</f>
        <v>复苏</v>
      </c>
      <c r="N197" s="44" t="s">
        <v>31</v>
      </c>
      <c r="O197" s="97"/>
      <c r="P197" s="97"/>
      <c r="Q197" s="97"/>
      <c r="R197" s="97"/>
    </row>
    <row r="198" spans="1:18" ht="14">
      <c r="A198" s="45">
        <v>43497</v>
      </c>
      <c r="B198" s="46">
        <f t="shared" si="16"/>
        <v>2019</v>
      </c>
      <c r="C198" s="46">
        <f t="shared" si="17"/>
        <v>2</v>
      </c>
      <c r="D198" s="45" t="str">
        <f t="shared" ref="D198:D229" si="19">B198&amp;C198</f>
        <v>20192</v>
      </c>
      <c r="E198" s="50"/>
      <c r="F198" s="47" t="s">
        <v>28</v>
      </c>
      <c r="G198" s="48">
        <f>VLOOKUP(D198,[2]Sheet1!$E$3:$F$321,2,0)</f>
        <v>8</v>
      </c>
      <c r="H198" s="49">
        <f>VLOOKUP(D198,[3]Sheet1!$E$3:$F$239,2,0)</f>
        <v>9665.1266849999993</v>
      </c>
      <c r="I198" s="70">
        <v>10.645690999999999</v>
      </c>
      <c r="J198" s="48"/>
      <c r="K198" s="58" t="s">
        <v>30</v>
      </c>
      <c r="L198" s="44" t="str">
        <f t="shared" si="15"/>
        <v>宽货币-宽信用</v>
      </c>
      <c r="M198" s="44" t="str">
        <f t="shared" si="18"/>
        <v>复苏</v>
      </c>
      <c r="N198" s="44" t="s">
        <v>31</v>
      </c>
      <c r="O198" s="97"/>
      <c r="P198" s="97"/>
      <c r="Q198" s="97"/>
      <c r="R198" s="97"/>
    </row>
    <row r="199" spans="1:18" ht="14">
      <c r="A199" s="45">
        <v>43525</v>
      </c>
      <c r="B199" s="46">
        <f t="shared" si="16"/>
        <v>2019</v>
      </c>
      <c r="C199" s="46">
        <f t="shared" si="17"/>
        <v>3</v>
      </c>
      <c r="D199" s="45" t="str">
        <f t="shared" si="19"/>
        <v>20193</v>
      </c>
      <c r="E199" s="50"/>
      <c r="F199" s="47" t="s">
        <v>28</v>
      </c>
      <c r="G199" s="48">
        <f>VLOOKUP(D199,[2]Sheet1!$E$3:$F$321,2,0)</f>
        <v>8.6</v>
      </c>
      <c r="H199" s="49">
        <f>VLOOKUP(D199,[3]Sheet1!$E$3:$F$239,2,0)</f>
        <v>29602.336533999998</v>
      </c>
      <c r="I199" s="70">
        <v>11.162117</v>
      </c>
      <c r="J199" s="48"/>
      <c r="K199" s="58" t="s">
        <v>30</v>
      </c>
      <c r="L199" s="44" t="str">
        <f t="shared" si="15"/>
        <v>宽货币-宽信用</v>
      </c>
      <c r="M199" s="44" t="str">
        <f t="shared" si="18"/>
        <v>复苏</v>
      </c>
      <c r="N199" s="44" t="s">
        <v>31</v>
      </c>
      <c r="O199" s="97"/>
      <c r="P199" s="97"/>
      <c r="Q199" s="97"/>
      <c r="R199" s="97"/>
    </row>
    <row r="200" spans="1:18" ht="14">
      <c r="A200" s="73">
        <v>43556</v>
      </c>
      <c r="B200" s="46">
        <f t="shared" si="16"/>
        <v>2019</v>
      </c>
      <c r="C200" s="46">
        <f t="shared" si="17"/>
        <v>4</v>
      </c>
      <c r="D200" s="45" t="str">
        <f t="shared" si="19"/>
        <v>20194</v>
      </c>
      <c r="E200" s="74"/>
      <c r="F200" s="47" t="s">
        <v>28</v>
      </c>
      <c r="G200" s="48">
        <f>VLOOKUP(D200,[2]Sheet1!$E$3:$F$321,2,0)</f>
        <v>8.5</v>
      </c>
      <c r="H200" s="49">
        <f>VLOOKUP(D200,[3]Sheet1!$E$3:$F$239,2,0)</f>
        <v>16709.538168999999</v>
      </c>
      <c r="I200" s="70">
        <v>10.805548</v>
      </c>
      <c r="J200" s="48"/>
      <c r="K200" s="58" t="s">
        <v>30</v>
      </c>
      <c r="L200" s="44" t="str">
        <f t="shared" si="15"/>
        <v>宽货币-宽信用</v>
      </c>
      <c r="M200" s="44" t="str">
        <f t="shared" si="18"/>
        <v>复苏</v>
      </c>
      <c r="N200" s="44" t="s">
        <v>31</v>
      </c>
      <c r="O200" s="97"/>
      <c r="P200" s="97"/>
      <c r="Q200" s="97"/>
      <c r="R200" s="97"/>
    </row>
    <row r="201" spans="1:18" ht="14">
      <c r="A201" s="45">
        <v>43586</v>
      </c>
      <c r="B201" s="46">
        <f t="shared" si="16"/>
        <v>2019</v>
      </c>
      <c r="C201" s="46">
        <f t="shared" si="17"/>
        <v>5</v>
      </c>
      <c r="D201" s="45" t="str">
        <f t="shared" si="19"/>
        <v>20195</v>
      </c>
      <c r="E201" s="50"/>
      <c r="F201" s="47" t="s">
        <v>28</v>
      </c>
      <c r="G201" s="48">
        <f>VLOOKUP(D201,[2]Sheet1!$E$3:$F$321,2,0)</f>
        <v>8.5</v>
      </c>
      <c r="H201" s="49">
        <f>VLOOKUP(D201,[3]Sheet1!$E$3:$F$239,2,0)</f>
        <v>17123.729277999999</v>
      </c>
      <c r="I201" s="70">
        <v>11.025001</v>
      </c>
      <c r="J201" s="48"/>
      <c r="K201" s="58" t="s">
        <v>30</v>
      </c>
      <c r="L201" s="44" t="str">
        <f t="shared" si="15"/>
        <v>宽货币-宽信用</v>
      </c>
      <c r="M201" s="44" t="str">
        <f t="shared" si="18"/>
        <v>复苏</v>
      </c>
      <c r="N201" s="44" t="s">
        <v>31</v>
      </c>
      <c r="O201" s="97"/>
      <c r="P201" s="97"/>
      <c r="Q201" s="97"/>
      <c r="R201" s="97"/>
    </row>
    <row r="202" spans="1:18" ht="56">
      <c r="A202" s="45">
        <v>43617</v>
      </c>
      <c r="B202" s="46">
        <f t="shared" si="16"/>
        <v>2019</v>
      </c>
      <c r="C202" s="46">
        <f t="shared" si="17"/>
        <v>6</v>
      </c>
      <c r="D202" s="45" t="str">
        <f t="shared" si="19"/>
        <v>20196</v>
      </c>
      <c r="E202" s="50"/>
      <c r="F202" s="47" t="s">
        <v>28</v>
      </c>
      <c r="G202" s="48">
        <f>VLOOKUP(D202,[2]Sheet1!$E$3:$F$321,2,0)</f>
        <v>8.5</v>
      </c>
      <c r="H202" s="49">
        <f>VLOOKUP(D202,[3]Sheet1!$E$3:$F$239,2,0)</f>
        <v>26243.302006000002</v>
      </c>
      <c r="I202" s="70">
        <v>11.193424</v>
      </c>
      <c r="J202" s="81" t="s">
        <v>76</v>
      </c>
      <c r="K202" s="58" t="s">
        <v>30</v>
      </c>
      <c r="L202" s="44" t="str">
        <f t="shared" si="15"/>
        <v>宽货币-宽信用</v>
      </c>
      <c r="M202" s="44" t="str">
        <f t="shared" si="18"/>
        <v>复苏</v>
      </c>
      <c r="N202" s="44" t="s">
        <v>31</v>
      </c>
      <c r="O202" s="97"/>
      <c r="P202" s="97"/>
      <c r="Q202" s="97"/>
      <c r="R202" s="97"/>
    </row>
    <row r="203" spans="1:18" ht="14">
      <c r="A203" s="45">
        <v>43647</v>
      </c>
      <c r="B203" s="46">
        <f t="shared" si="16"/>
        <v>2019</v>
      </c>
      <c r="C203" s="46">
        <f t="shared" si="17"/>
        <v>7</v>
      </c>
      <c r="D203" s="45" t="str">
        <f t="shared" si="19"/>
        <v>20197</v>
      </c>
      <c r="E203" s="55"/>
      <c r="F203" s="47" t="s">
        <v>28</v>
      </c>
      <c r="G203" s="48">
        <f>VLOOKUP(D203,[2]Sheet1!$E$3:$F$321,2,0)</f>
        <v>8.1</v>
      </c>
      <c r="H203" s="49">
        <f>VLOOKUP(D203,[3]Sheet1!$E$3:$F$239,2,0)</f>
        <v>12872.110273</v>
      </c>
      <c r="I203" s="70">
        <v>10.848680999999999</v>
      </c>
      <c r="J203" s="48"/>
      <c r="K203" s="65" t="s">
        <v>37</v>
      </c>
      <c r="L203" s="44" t="str">
        <f t="shared" si="15"/>
        <v>宽货币-紧信用</v>
      </c>
      <c r="M203" s="44" t="str">
        <f t="shared" si="18"/>
        <v>萧条</v>
      </c>
      <c r="N203" s="44" t="s">
        <v>40</v>
      </c>
      <c r="O203" s="97"/>
      <c r="P203" s="97"/>
      <c r="Q203" s="97"/>
      <c r="R203" s="97"/>
    </row>
    <row r="204" spans="1:18" ht="14">
      <c r="A204" s="45">
        <v>43678</v>
      </c>
      <c r="B204" s="46">
        <f t="shared" si="16"/>
        <v>2019</v>
      </c>
      <c r="C204" s="46">
        <f t="shared" si="17"/>
        <v>8</v>
      </c>
      <c r="D204" s="45" t="str">
        <f t="shared" si="19"/>
        <v>20198</v>
      </c>
      <c r="E204" s="55"/>
      <c r="F204" s="47" t="s">
        <v>28</v>
      </c>
      <c r="G204" s="48">
        <f>VLOOKUP(D204,[2]Sheet1!$E$3:$F$321,2,0)</f>
        <v>8.1999999999999993</v>
      </c>
      <c r="H204" s="49">
        <f>VLOOKUP(D204,[3]Sheet1!$E$3:$F$239,2,0)</f>
        <v>21955.765013</v>
      </c>
      <c r="I204" s="70">
        <v>10.676171999999999</v>
      </c>
      <c r="J204" s="48"/>
      <c r="K204" s="65" t="s">
        <v>37</v>
      </c>
      <c r="L204" s="44" t="str">
        <f t="shared" ref="L204:L229" si="20">F204&amp;K204</f>
        <v>宽货币-紧信用</v>
      </c>
      <c r="M204" s="44" t="str">
        <f t="shared" si="18"/>
        <v>萧条</v>
      </c>
      <c r="N204" s="44" t="s">
        <v>40</v>
      </c>
      <c r="O204" s="97"/>
      <c r="P204" s="97"/>
      <c r="Q204" s="97"/>
      <c r="R204" s="97"/>
    </row>
    <row r="205" spans="1:18" ht="42">
      <c r="A205" s="73">
        <v>43709</v>
      </c>
      <c r="B205" s="46">
        <f t="shared" si="16"/>
        <v>2019</v>
      </c>
      <c r="C205" s="46">
        <f t="shared" si="17"/>
        <v>9</v>
      </c>
      <c r="D205" s="45" t="str">
        <f t="shared" si="19"/>
        <v>20199</v>
      </c>
      <c r="E205" s="72" t="s">
        <v>77</v>
      </c>
      <c r="F205" s="47" t="s">
        <v>28</v>
      </c>
      <c r="G205" s="48">
        <f>VLOOKUP(D205,[2]Sheet1!$E$3:$F$321,2,0)</f>
        <v>8.4</v>
      </c>
      <c r="H205" s="49">
        <f>VLOOKUP(D205,[3]Sheet1!$E$3:$F$239,2,0)</f>
        <v>25142.210456000001</v>
      </c>
      <c r="I205" s="70">
        <v>10.666387</v>
      </c>
      <c r="J205" s="48"/>
      <c r="K205" s="65" t="s">
        <v>37</v>
      </c>
      <c r="L205" s="44" t="str">
        <f t="shared" si="20"/>
        <v>宽货币-紧信用</v>
      </c>
      <c r="M205" s="44" t="str">
        <f t="shared" si="18"/>
        <v>萧条</v>
      </c>
      <c r="N205" s="44" t="s">
        <v>40</v>
      </c>
      <c r="O205" s="97"/>
      <c r="P205" s="97"/>
      <c r="Q205" s="97"/>
      <c r="R205" s="97"/>
    </row>
    <row r="206" spans="1:18" ht="14">
      <c r="A206" s="45">
        <v>43739</v>
      </c>
      <c r="B206" s="46">
        <f t="shared" si="16"/>
        <v>2019</v>
      </c>
      <c r="C206" s="46">
        <f t="shared" si="17"/>
        <v>10</v>
      </c>
      <c r="D206" s="45" t="str">
        <f t="shared" si="19"/>
        <v>201910</v>
      </c>
      <c r="E206" s="50"/>
      <c r="F206" s="47" t="s">
        <v>28</v>
      </c>
      <c r="G206" s="48">
        <f>VLOOKUP(D206,[2]Sheet1!$E$3:$F$321,2,0)</f>
        <v>8.4</v>
      </c>
      <c r="H206" s="49">
        <f>VLOOKUP(D206,[3]Sheet1!$E$3:$F$239,2,0)</f>
        <v>8680.0021219999999</v>
      </c>
      <c r="I206" s="70">
        <v>10.581898000000001</v>
      </c>
      <c r="J206" s="48"/>
      <c r="K206" s="65" t="s">
        <v>37</v>
      </c>
      <c r="L206" s="44" t="str">
        <f t="shared" si="20"/>
        <v>宽货币-紧信用</v>
      </c>
      <c r="M206" s="44" t="str">
        <f t="shared" si="18"/>
        <v>萧条</v>
      </c>
      <c r="N206" s="44" t="s">
        <v>40</v>
      </c>
      <c r="O206" s="97"/>
      <c r="P206" s="97"/>
      <c r="Q206" s="97"/>
      <c r="R206" s="97"/>
    </row>
    <row r="207" spans="1:18" ht="14">
      <c r="A207" s="45">
        <v>43770</v>
      </c>
      <c r="B207" s="46">
        <f t="shared" si="16"/>
        <v>2019</v>
      </c>
      <c r="C207" s="46">
        <f t="shared" si="17"/>
        <v>11</v>
      </c>
      <c r="D207" s="45" t="str">
        <f t="shared" si="19"/>
        <v>201911</v>
      </c>
      <c r="E207" s="55"/>
      <c r="F207" s="47" t="s">
        <v>28</v>
      </c>
      <c r="G207" s="48">
        <f>VLOOKUP(D207,[2]Sheet1!$E$3:$F$321,2,0)</f>
        <v>8.1999999999999993</v>
      </c>
      <c r="H207" s="49">
        <f>VLOOKUP(D207,[3]Sheet1!$E$3:$F$239,2,0)</f>
        <v>19936.916232</v>
      </c>
      <c r="I207" s="70">
        <v>10.669226999999999</v>
      </c>
      <c r="J207" s="48"/>
      <c r="K207" s="65" t="s">
        <v>37</v>
      </c>
      <c r="L207" s="44" t="str">
        <f t="shared" si="20"/>
        <v>宽货币-紧信用</v>
      </c>
      <c r="M207" s="44" t="str">
        <f t="shared" si="18"/>
        <v>萧条</v>
      </c>
      <c r="N207" s="44" t="s">
        <v>40</v>
      </c>
      <c r="O207" s="97"/>
      <c r="P207" s="97"/>
      <c r="Q207" s="97"/>
      <c r="R207" s="97"/>
    </row>
    <row r="208" spans="1:18" ht="14">
      <c r="A208" s="45">
        <v>43800</v>
      </c>
      <c r="B208" s="46">
        <f t="shared" si="16"/>
        <v>2019</v>
      </c>
      <c r="C208" s="46">
        <f t="shared" si="17"/>
        <v>12</v>
      </c>
      <c r="D208" s="45" t="str">
        <f t="shared" si="19"/>
        <v>201912</v>
      </c>
      <c r="E208" s="50"/>
      <c r="F208" s="47" t="s">
        <v>28</v>
      </c>
      <c r="G208" s="48">
        <f>VLOOKUP(D208,[2]Sheet1!$E$3:$F$321,2,0)</f>
        <v>8.6999999999999993</v>
      </c>
      <c r="H208" s="49">
        <f>VLOOKUP(D208,[3]Sheet1!$E$3:$F$239,2,0)</f>
        <v>22013</v>
      </c>
      <c r="I208" s="70">
        <v>10.692755999999999</v>
      </c>
      <c r="J208" s="48"/>
      <c r="K208" s="65" t="s">
        <v>37</v>
      </c>
      <c r="L208" s="44" t="str">
        <f t="shared" si="20"/>
        <v>宽货币-紧信用</v>
      </c>
      <c r="M208" s="44" t="str">
        <f t="shared" si="18"/>
        <v>萧条</v>
      </c>
      <c r="N208" s="44" t="s">
        <v>40</v>
      </c>
      <c r="O208" s="97"/>
      <c r="P208" s="97"/>
      <c r="Q208" s="97"/>
      <c r="R208" s="97"/>
    </row>
    <row r="209" spans="1:18" ht="98">
      <c r="A209" s="45">
        <v>43831</v>
      </c>
      <c r="B209" s="46">
        <f t="shared" si="16"/>
        <v>2020</v>
      </c>
      <c r="C209" s="46">
        <f t="shared" si="17"/>
        <v>1</v>
      </c>
      <c r="D209" s="45" t="str">
        <f t="shared" si="19"/>
        <v>20201</v>
      </c>
      <c r="E209" s="75" t="s">
        <v>78</v>
      </c>
      <c r="F209" s="47" t="s">
        <v>28</v>
      </c>
      <c r="G209" s="48">
        <f>VLOOKUP(D209,[2]Sheet1!$E$3:$F$321,2,0)</f>
        <v>8.4</v>
      </c>
      <c r="H209" s="49">
        <f>VLOOKUP(D209,[3]Sheet1!$E$3:$F$239,2,0)</f>
        <v>50535</v>
      </c>
      <c r="I209" s="70">
        <v>10.7</v>
      </c>
      <c r="J209" s="48"/>
      <c r="K209" s="65" t="s">
        <v>37</v>
      </c>
      <c r="L209" s="44" t="str">
        <f t="shared" si="20"/>
        <v>宽货币-紧信用</v>
      </c>
      <c r="M209" s="44" t="str">
        <f t="shared" si="18"/>
        <v>萧条</v>
      </c>
      <c r="N209" s="44" t="s">
        <v>40</v>
      </c>
      <c r="O209" s="97"/>
      <c r="P209" s="97"/>
      <c r="Q209" s="97"/>
      <c r="R209" s="97"/>
    </row>
    <row r="210" spans="1:18" ht="67" customHeight="1">
      <c r="A210" s="45">
        <v>43862</v>
      </c>
      <c r="B210" s="46">
        <f t="shared" si="16"/>
        <v>2020</v>
      </c>
      <c r="C210" s="46">
        <f t="shared" si="17"/>
        <v>2</v>
      </c>
      <c r="D210" s="45" t="str">
        <f t="shared" si="19"/>
        <v>20202</v>
      </c>
      <c r="E210" s="50"/>
      <c r="F210" s="47" t="s">
        <v>28</v>
      </c>
      <c r="G210" s="48">
        <f>VLOOKUP(D210,[2]Sheet1!$E$3:$F$321,2,0)</f>
        <v>8.8000000000000007</v>
      </c>
      <c r="H210" s="49">
        <f>VLOOKUP(D210,[3]Sheet1!$E$3:$F$239,2,0)</f>
        <v>8737</v>
      </c>
      <c r="I210" s="70">
        <v>10.7</v>
      </c>
      <c r="J210" s="81" t="s">
        <v>79</v>
      </c>
      <c r="K210" s="65" t="s">
        <v>37</v>
      </c>
      <c r="L210" s="44" t="str">
        <f t="shared" si="20"/>
        <v>宽货币-紧信用</v>
      </c>
      <c r="M210" s="44" t="str">
        <f t="shared" si="18"/>
        <v>萧条</v>
      </c>
      <c r="N210" s="44" t="s">
        <v>40</v>
      </c>
      <c r="O210" s="97"/>
      <c r="P210" s="97"/>
      <c r="Q210" s="97"/>
      <c r="R210" s="97"/>
    </row>
    <row r="211" spans="1:18" ht="28">
      <c r="A211" s="45">
        <v>43891</v>
      </c>
      <c r="B211" s="46">
        <f t="shared" si="16"/>
        <v>2020</v>
      </c>
      <c r="C211" s="46">
        <f t="shared" si="17"/>
        <v>3</v>
      </c>
      <c r="D211" s="45" t="str">
        <f t="shared" si="19"/>
        <v>20203</v>
      </c>
      <c r="E211" s="76" t="s">
        <v>80</v>
      </c>
      <c r="F211" s="47" t="s">
        <v>28</v>
      </c>
      <c r="G211" s="48">
        <f>VLOOKUP(D211,[2]Sheet1!$E$3:$F$321,2,0)</f>
        <v>10.1</v>
      </c>
      <c r="H211" s="49">
        <f>VLOOKUP(D211,[3]Sheet1!$E$3:$F$239,2,0)</f>
        <v>51838</v>
      </c>
      <c r="I211" s="70">
        <v>11.5</v>
      </c>
      <c r="J211" s="48"/>
      <c r="K211" s="58" t="s">
        <v>30</v>
      </c>
      <c r="L211" s="44" t="str">
        <f t="shared" si="20"/>
        <v>宽货币-宽信用</v>
      </c>
      <c r="M211" s="44" t="str">
        <f t="shared" si="18"/>
        <v>复苏</v>
      </c>
      <c r="N211" s="44" t="s">
        <v>31</v>
      </c>
      <c r="O211" s="97"/>
      <c r="P211" s="97"/>
      <c r="Q211" s="97"/>
      <c r="R211" s="97"/>
    </row>
    <row r="212" spans="1:18" ht="78" customHeight="1">
      <c r="A212" s="45">
        <v>43922</v>
      </c>
      <c r="B212" s="46">
        <f t="shared" si="16"/>
        <v>2020</v>
      </c>
      <c r="C212" s="46">
        <f t="shared" si="17"/>
        <v>4</v>
      </c>
      <c r="D212" s="45" t="str">
        <f t="shared" si="19"/>
        <v>20204</v>
      </c>
      <c r="E212" s="76" t="s">
        <v>81</v>
      </c>
      <c r="F212" s="47" t="s">
        <v>28</v>
      </c>
      <c r="G212" s="48">
        <f>VLOOKUP(D212,[2]Sheet1!$E$3:$F$321,2,0)</f>
        <v>11.1</v>
      </c>
      <c r="H212" s="49">
        <f>VLOOKUP(D212,[3]Sheet1!$E$3:$F$239,2,0)</f>
        <v>31027</v>
      </c>
      <c r="I212" s="70">
        <v>12</v>
      </c>
      <c r="J212" s="48"/>
      <c r="K212" s="58" t="s">
        <v>30</v>
      </c>
      <c r="L212" s="44" t="str">
        <f t="shared" si="20"/>
        <v>宽货币-宽信用</v>
      </c>
      <c r="M212" s="44" t="str">
        <f t="shared" si="18"/>
        <v>复苏</v>
      </c>
      <c r="N212" s="44" t="s">
        <v>31</v>
      </c>
      <c r="O212" s="97"/>
      <c r="P212" s="97"/>
      <c r="Q212" s="97"/>
      <c r="R212" s="97"/>
    </row>
    <row r="213" spans="1:18" ht="14">
      <c r="A213" s="45">
        <v>43952</v>
      </c>
      <c r="B213" s="46">
        <f t="shared" si="16"/>
        <v>2020</v>
      </c>
      <c r="C213" s="46">
        <f t="shared" si="17"/>
        <v>5</v>
      </c>
      <c r="D213" s="45" t="str">
        <f t="shared" si="19"/>
        <v>20205</v>
      </c>
      <c r="E213" s="77"/>
      <c r="F213" s="47" t="s">
        <v>28</v>
      </c>
      <c r="G213" s="48">
        <f>VLOOKUP(D213,[2]Sheet1!$E$3:$F$321,2,0)</f>
        <v>11.1</v>
      </c>
      <c r="H213" s="49">
        <f>VLOOKUP(D213,[3]Sheet1!$E$3:$F$239,2,0)</f>
        <v>31866</v>
      </c>
      <c r="I213" s="70">
        <v>12.5</v>
      </c>
      <c r="J213" s="48"/>
      <c r="K213" s="58" t="s">
        <v>30</v>
      </c>
      <c r="L213" s="44" t="str">
        <f t="shared" si="20"/>
        <v>宽货币-宽信用</v>
      </c>
      <c r="M213" s="44" t="str">
        <f t="shared" si="18"/>
        <v>复苏</v>
      </c>
      <c r="N213" s="44" t="s">
        <v>31</v>
      </c>
      <c r="O213" s="97"/>
      <c r="P213" s="97"/>
      <c r="Q213" s="97"/>
      <c r="R213" s="97"/>
    </row>
    <row r="214" spans="1:18" ht="14">
      <c r="A214" s="73">
        <v>43983</v>
      </c>
      <c r="B214" s="46">
        <f t="shared" si="16"/>
        <v>2020</v>
      </c>
      <c r="C214" s="46">
        <f t="shared" si="17"/>
        <v>6</v>
      </c>
      <c r="D214" s="45" t="str">
        <f t="shared" si="19"/>
        <v>20206</v>
      </c>
      <c r="E214" s="74"/>
      <c r="F214" s="47" t="s">
        <v>28</v>
      </c>
      <c r="G214" s="48">
        <f>VLOOKUP(D214,[2]Sheet1!$E$3:$F$321,2,0)</f>
        <v>11.1</v>
      </c>
      <c r="H214" s="49">
        <f>VLOOKUP(D214,[3]Sheet1!$E$3:$F$239,2,0)</f>
        <v>34681</v>
      </c>
      <c r="I214" s="70">
        <v>12.8</v>
      </c>
      <c r="J214" s="48"/>
      <c r="K214" s="58" t="s">
        <v>30</v>
      </c>
      <c r="L214" s="44" t="str">
        <f t="shared" si="20"/>
        <v>宽货币-宽信用</v>
      </c>
      <c r="M214" s="44" t="str">
        <f t="shared" si="18"/>
        <v>复苏</v>
      </c>
      <c r="N214" s="44" t="s">
        <v>31</v>
      </c>
      <c r="O214" s="97"/>
      <c r="P214" s="97"/>
      <c r="Q214" s="97"/>
      <c r="R214" s="97"/>
    </row>
    <row r="215" spans="1:18" ht="156" customHeight="1">
      <c r="A215" s="45">
        <v>44013</v>
      </c>
      <c r="B215" s="46">
        <f t="shared" si="16"/>
        <v>2020</v>
      </c>
      <c r="C215" s="46">
        <f t="shared" si="17"/>
        <v>7</v>
      </c>
      <c r="D215" s="45" t="str">
        <f t="shared" si="19"/>
        <v>20207</v>
      </c>
      <c r="E215" s="78" t="s">
        <v>82</v>
      </c>
      <c r="F215" s="47" t="s">
        <v>28</v>
      </c>
      <c r="G215" s="48">
        <f>VLOOKUP(D215,[2]Sheet1!$E$3:$F$321,2,0)</f>
        <v>10.7</v>
      </c>
      <c r="H215" s="49">
        <f>VLOOKUP(D215,[3]Sheet1!$E$3:$F$239,2,0)</f>
        <v>16928</v>
      </c>
      <c r="I215" s="70">
        <v>12.9</v>
      </c>
      <c r="J215" s="48"/>
      <c r="K215" s="58" t="s">
        <v>30</v>
      </c>
      <c r="L215" s="44" t="str">
        <f t="shared" si="20"/>
        <v>宽货币-宽信用</v>
      </c>
      <c r="M215" s="44" t="str">
        <f t="shared" si="18"/>
        <v>复苏</v>
      </c>
      <c r="N215" s="44" t="s">
        <v>31</v>
      </c>
      <c r="O215" s="97"/>
      <c r="P215" s="97"/>
      <c r="Q215" s="97"/>
      <c r="R215" s="97"/>
    </row>
    <row r="216" spans="1:18" ht="139" customHeight="1">
      <c r="A216" s="45">
        <v>44044</v>
      </c>
      <c r="B216" s="46">
        <f t="shared" si="16"/>
        <v>2020</v>
      </c>
      <c r="C216" s="46">
        <f t="shared" si="17"/>
        <v>8</v>
      </c>
      <c r="D216" s="45" t="str">
        <f t="shared" si="19"/>
        <v>20208</v>
      </c>
      <c r="E216" s="52" t="s">
        <v>83</v>
      </c>
      <c r="F216" s="53" t="s">
        <v>34</v>
      </c>
      <c r="G216" s="48">
        <f>VLOOKUP(D216,[2]Sheet1!$E$3:$F$321,2,0)</f>
        <v>10.4</v>
      </c>
      <c r="H216" s="49">
        <f>VLOOKUP(D216,[3]Sheet1!$E$3:$F$239,2,0)</f>
        <v>35853</v>
      </c>
      <c r="I216" s="70">
        <v>13.3</v>
      </c>
      <c r="J216" s="48"/>
      <c r="K216" s="58" t="s">
        <v>30</v>
      </c>
      <c r="L216" s="44" t="str">
        <f t="shared" si="20"/>
        <v>紧货币-宽信用</v>
      </c>
      <c r="M216" s="44" t="str">
        <f t="shared" si="18"/>
        <v>过热</v>
      </c>
      <c r="N216" s="44" t="s">
        <v>35</v>
      </c>
      <c r="O216" s="97"/>
      <c r="P216" s="97"/>
      <c r="Q216" s="97"/>
      <c r="R216" s="97"/>
    </row>
    <row r="217" spans="1:18" ht="42">
      <c r="A217" s="45">
        <v>44075</v>
      </c>
      <c r="B217" s="46">
        <f t="shared" si="16"/>
        <v>2020</v>
      </c>
      <c r="C217" s="46">
        <f t="shared" si="17"/>
        <v>9</v>
      </c>
      <c r="D217" s="45" t="str">
        <f t="shared" si="19"/>
        <v>20209</v>
      </c>
      <c r="E217" s="50" t="s">
        <v>84</v>
      </c>
      <c r="F217" s="53" t="s">
        <v>34</v>
      </c>
      <c r="G217" s="48">
        <f>VLOOKUP(D217,[2]Sheet1!$E$3:$F$321,2,0)</f>
        <v>10.9</v>
      </c>
      <c r="H217" s="49">
        <f>VLOOKUP(D217,[3]Sheet1!$E$3:$F$239,2,0)</f>
        <v>34693</v>
      </c>
      <c r="I217" s="70">
        <v>13.5</v>
      </c>
      <c r="J217" s="48"/>
      <c r="K217" s="58" t="s">
        <v>30</v>
      </c>
      <c r="L217" s="44" t="str">
        <f t="shared" si="20"/>
        <v>紧货币-宽信用</v>
      </c>
      <c r="M217" s="44" t="str">
        <f t="shared" si="18"/>
        <v>过热</v>
      </c>
      <c r="N217" s="44" t="s">
        <v>35</v>
      </c>
      <c r="O217" s="97"/>
      <c r="P217" s="97"/>
      <c r="Q217" s="97"/>
      <c r="R217" s="97"/>
    </row>
    <row r="218" spans="1:18" ht="42">
      <c r="A218" s="79">
        <v>44105</v>
      </c>
      <c r="B218" s="46">
        <f t="shared" si="16"/>
        <v>2020</v>
      </c>
      <c r="C218" s="46">
        <f t="shared" si="17"/>
        <v>10</v>
      </c>
      <c r="D218" s="45" t="str">
        <f t="shared" si="19"/>
        <v>202010</v>
      </c>
      <c r="E218" s="94" t="s">
        <v>85</v>
      </c>
      <c r="F218" s="53" t="s">
        <v>34</v>
      </c>
      <c r="G218" s="48">
        <f>VLOOKUP(D218,[2]Sheet1!$E$3:$F$321,2,0)</f>
        <v>10.5</v>
      </c>
      <c r="H218" s="49">
        <f>VLOOKUP(D218,[3]Sheet1!$E$3:$F$239,2,0)</f>
        <v>13929</v>
      </c>
      <c r="I218" s="70">
        <v>13.7</v>
      </c>
      <c r="J218" s="81" t="s">
        <v>86</v>
      </c>
      <c r="K218" s="58" t="s">
        <v>30</v>
      </c>
      <c r="L218" s="44" t="str">
        <f t="shared" si="20"/>
        <v>紧货币-宽信用</v>
      </c>
      <c r="M218" s="44" t="str">
        <f t="shared" si="18"/>
        <v>过热</v>
      </c>
      <c r="N218" s="44" t="s">
        <v>35</v>
      </c>
      <c r="O218" s="97"/>
      <c r="P218" s="97"/>
      <c r="Q218" s="97"/>
      <c r="R218" s="97"/>
    </row>
    <row r="219" spans="1:18" ht="26" customHeight="1">
      <c r="A219" s="45">
        <v>44136</v>
      </c>
      <c r="B219" s="46">
        <f t="shared" si="16"/>
        <v>2020</v>
      </c>
      <c r="C219" s="46">
        <f t="shared" si="17"/>
        <v>11</v>
      </c>
      <c r="D219" s="45" t="str">
        <f t="shared" si="19"/>
        <v>202011</v>
      </c>
      <c r="E219" s="95"/>
      <c r="F219" s="53" t="s">
        <v>34</v>
      </c>
      <c r="G219" s="48">
        <f>VLOOKUP(D219,[2]Sheet1!$E$3:$F$321,2,0)</f>
        <v>10.7</v>
      </c>
      <c r="H219" s="49">
        <f>VLOOKUP(D219,[3]Sheet1!$E$3:$F$239,2,0)</f>
        <v>21355</v>
      </c>
      <c r="I219" s="70">
        <v>13.6</v>
      </c>
      <c r="J219" s="48"/>
      <c r="K219" s="65" t="s">
        <v>37</v>
      </c>
      <c r="L219" s="44" t="str">
        <f t="shared" si="20"/>
        <v>紧货币-紧信用</v>
      </c>
      <c r="M219" s="44" t="str">
        <f t="shared" si="18"/>
        <v>滞涨</v>
      </c>
      <c r="N219" s="44" t="s">
        <v>38</v>
      </c>
      <c r="O219" s="97"/>
      <c r="P219" s="97"/>
      <c r="Q219" s="97"/>
      <c r="R219" s="97"/>
    </row>
    <row r="220" spans="1:18" ht="24" customHeight="1">
      <c r="A220" s="45">
        <v>44166</v>
      </c>
      <c r="B220" s="46">
        <f t="shared" si="16"/>
        <v>2020</v>
      </c>
      <c r="C220" s="46">
        <f t="shared" si="17"/>
        <v>12</v>
      </c>
      <c r="D220" s="45" t="str">
        <f t="shared" si="19"/>
        <v>202012</v>
      </c>
      <c r="E220" s="95"/>
      <c r="F220" s="53" t="s">
        <v>34</v>
      </c>
      <c r="G220" s="48">
        <f>VLOOKUP(D220,[2]Sheet1!$E$3:$F$321,2,0)</f>
        <v>10.1</v>
      </c>
      <c r="H220" s="49">
        <f>VLOOKUP(D220,[3]Sheet1!$E$3:$F$239,2,0)</f>
        <v>17192</v>
      </c>
      <c r="I220" s="70">
        <v>13.3</v>
      </c>
      <c r="J220" s="48"/>
      <c r="K220" s="65" t="s">
        <v>37</v>
      </c>
      <c r="L220" s="44" t="str">
        <f t="shared" si="20"/>
        <v>紧货币-紧信用</v>
      </c>
      <c r="M220" s="44" t="str">
        <f t="shared" si="18"/>
        <v>滞涨</v>
      </c>
      <c r="N220" s="44" t="s">
        <v>38</v>
      </c>
      <c r="O220" s="97"/>
      <c r="P220" s="97"/>
      <c r="Q220" s="97"/>
      <c r="R220" s="97"/>
    </row>
    <row r="221" spans="1:18" ht="72" customHeight="1">
      <c r="A221" s="45">
        <v>44197</v>
      </c>
      <c r="B221" s="46">
        <f t="shared" si="16"/>
        <v>2021</v>
      </c>
      <c r="C221" s="46">
        <f t="shared" si="17"/>
        <v>1</v>
      </c>
      <c r="D221" s="45" t="str">
        <f t="shared" si="19"/>
        <v>20211</v>
      </c>
      <c r="E221" s="96"/>
      <c r="F221" s="53" t="s">
        <v>34</v>
      </c>
      <c r="G221" s="48">
        <f>VLOOKUP(D221,[2]Sheet1!$E$3:$F$321,2,0)</f>
        <v>9.4</v>
      </c>
      <c r="H221" s="49">
        <f>VLOOKUP(D221,[3]Sheet1!$E$3:$F$239,2,0)</f>
        <v>51870</v>
      </c>
      <c r="I221" s="70">
        <v>13</v>
      </c>
      <c r="J221" s="48"/>
      <c r="K221" s="65" t="s">
        <v>37</v>
      </c>
      <c r="L221" s="44" t="str">
        <f t="shared" si="20"/>
        <v>紧货币-紧信用</v>
      </c>
      <c r="M221" s="44" t="str">
        <f t="shared" si="18"/>
        <v>滞涨</v>
      </c>
      <c r="N221" s="44" t="s">
        <v>38</v>
      </c>
      <c r="O221" s="97"/>
      <c r="P221" s="97"/>
      <c r="Q221" s="97"/>
      <c r="R221" s="97"/>
    </row>
    <row r="222" spans="1:18" ht="14">
      <c r="A222" s="45">
        <v>44228</v>
      </c>
      <c r="B222" s="46">
        <f t="shared" si="16"/>
        <v>2021</v>
      </c>
      <c r="C222" s="46">
        <f t="shared" si="17"/>
        <v>2</v>
      </c>
      <c r="D222" s="45" t="str">
        <f t="shared" si="19"/>
        <v>20212</v>
      </c>
      <c r="E222" s="68"/>
      <c r="F222" s="53" t="s">
        <v>34</v>
      </c>
      <c r="G222" s="48">
        <f>VLOOKUP(D222,[2]Sheet1!$E$3:$F$321,2,0)</f>
        <v>10.1</v>
      </c>
      <c r="H222" s="49">
        <f>VLOOKUP(D222,[3]Sheet1!$E$3:$F$239,2,0)</f>
        <v>17238</v>
      </c>
      <c r="I222" s="70">
        <v>13.3</v>
      </c>
      <c r="J222" s="48"/>
      <c r="K222" s="65" t="s">
        <v>37</v>
      </c>
      <c r="L222" s="44" t="str">
        <f t="shared" si="20"/>
        <v>紧货币-紧信用</v>
      </c>
      <c r="M222" s="44" t="str">
        <f t="shared" si="18"/>
        <v>滞涨</v>
      </c>
      <c r="N222" s="44" t="s">
        <v>38</v>
      </c>
      <c r="O222" s="97"/>
      <c r="P222" s="97"/>
      <c r="Q222" s="97"/>
      <c r="R222" s="97"/>
    </row>
    <row r="223" spans="1:18" ht="14">
      <c r="A223" s="45">
        <v>44256</v>
      </c>
      <c r="B223" s="46">
        <f t="shared" si="16"/>
        <v>2021</v>
      </c>
      <c r="C223" s="46">
        <f t="shared" si="17"/>
        <v>3</v>
      </c>
      <c r="D223" s="45" t="str">
        <f t="shared" si="19"/>
        <v>20213</v>
      </c>
      <c r="E223" s="50"/>
      <c r="F223" s="53" t="s">
        <v>34</v>
      </c>
      <c r="G223" s="48">
        <f>VLOOKUP(D223,[2]Sheet1!$E$3:$F$321,2,0)</f>
        <v>9.4</v>
      </c>
      <c r="H223" s="49">
        <f>VLOOKUP(D223,[3]Sheet1!$E$3:$F$239,2,0)</f>
        <v>33724</v>
      </c>
      <c r="I223" s="70">
        <v>12.3</v>
      </c>
      <c r="J223" s="48"/>
      <c r="K223" s="65" t="s">
        <v>37</v>
      </c>
      <c r="L223" s="44" t="str">
        <f t="shared" si="20"/>
        <v>紧货币-紧信用</v>
      </c>
      <c r="M223" s="44" t="str">
        <f t="shared" si="18"/>
        <v>滞涨</v>
      </c>
      <c r="N223" s="44" t="s">
        <v>38</v>
      </c>
      <c r="O223" s="97"/>
      <c r="P223" s="97"/>
      <c r="Q223" s="97"/>
      <c r="R223" s="97"/>
    </row>
    <row r="224" spans="1:18" ht="14">
      <c r="A224" s="45">
        <v>44287</v>
      </c>
      <c r="B224" s="46">
        <f t="shared" si="16"/>
        <v>2021</v>
      </c>
      <c r="C224" s="46">
        <f t="shared" si="17"/>
        <v>4</v>
      </c>
      <c r="D224" s="45" t="str">
        <f t="shared" si="19"/>
        <v>20214</v>
      </c>
      <c r="E224" s="50"/>
      <c r="F224" s="53" t="s">
        <v>34</v>
      </c>
      <c r="G224" s="48">
        <f>VLOOKUP(D224,[2]Sheet1!$E$3:$F$321,2,0)</f>
        <v>8.1</v>
      </c>
      <c r="H224" s="49">
        <f>VLOOKUP(D224,[3]Sheet1!$E$3:$F$239,2,0)</f>
        <v>18567</v>
      </c>
      <c r="I224" s="70">
        <v>11.7</v>
      </c>
      <c r="J224" s="48"/>
      <c r="K224" s="65" t="s">
        <v>37</v>
      </c>
      <c r="L224" s="44" t="str">
        <f t="shared" si="20"/>
        <v>紧货币-紧信用</v>
      </c>
      <c r="M224" s="44" t="str">
        <f t="shared" si="18"/>
        <v>滞涨</v>
      </c>
      <c r="N224" s="44" t="s">
        <v>38</v>
      </c>
      <c r="O224" s="97"/>
      <c r="P224" s="97"/>
      <c r="Q224" s="97"/>
      <c r="R224" s="97"/>
    </row>
    <row r="225" spans="1:18" ht="14">
      <c r="A225" s="45">
        <v>44317</v>
      </c>
      <c r="B225" s="46">
        <f t="shared" si="16"/>
        <v>2021</v>
      </c>
      <c r="C225" s="46">
        <f t="shared" si="17"/>
        <v>5</v>
      </c>
      <c r="D225" s="45" t="str">
        <f t="shared" si="19"/>
        <v>20215</v>
      </c>
      <c r="E225" s="68"/>
      <c r="F225" s="53" t="s">
        <v>34</v>
      </c>
      <c r="G225" s="48">
        <f>VLOOKUP(D225,[2]Sheet1!$E$3:$F$321,2,0)</f>
        <v>8.3000000000000007</v>
      </c>
      <c r="H225" s="49">
        <f>VLOOKUP(D225,[3]Sheet1!$E$3:$F$239,2,0)</f>
        <v>19519</v>
      </c>
      <c r="I225" s="70">
        <v>11</v>
      </c>
      <c r="J225" s="48"/>
      <c r="K225" s="65" t="s">
        <v>37</v>
      </c>
      <c r="L225" s="44" t="str">
        <f t="shared" si="20"/>
        <v>紧货币-紧信用</v>
      </c>
      <c r="M225" s="44" t="str">
        <f t="shared" si="18"/>
        <v>滞涨</v>
      </c>
      <c r="N225" s="44" t="s">
        <v>38</v>
      </c>
      <c r="O225" s="97"/>
      <c r="P225" s="97"/>
      <c r="Q225" s="97"/>
      <c r="R225" s="97"/>
    </row>
    <row r="226" spans="1:18" ht="42">
      <c r="A226" s="45">
        <v>44348</v>
      </c>
      <c r="B226" s="46">
        <f t="shared" si="16"/>
        <v>2021</v>
      </c>
      <c r="C226" s="46">
        <f t="shared" si="17"/>
        <v>6</v>
      </c>
      <c r="D226" s="45" t="str">
        <f t="shared" si="19"/>
        <v>20216</v>
      </c>
      <c r="E226" s="50" t="s">
        <v>87</v>
      </c>
      <c r="F226" s="53" t="s">
        <v>34</v>
      </c>
      <c r="G226" s="48">
        <f>VLOOKUP(D226,[2]Sheet1!$E$3:$F$321,2,0)</f>
        <v>8.6</v>
      </c>
      <c r="H226" s="49">
        <f>VLOOKUP(D226,[3]Sheet1!$E$3:$F$239,2,0)</f>
        <v>37009</v>
      </c>
      <c r="I226" s="70">
        <v>11</v>
      </c>
      <c r="J226" s="48"/>
      <c r="K226" s="65" t="s">
        <v>37</v>
      </c>
      <c r="L226" s="44" t="str">
        <f t="shared" si="20"/>
        <v>紧货币-紧信用</v>
      </c>
      <c r="M226" s="44" t="str">
        <f t="shared" si="18"/>
        <v>滞涨</v>
      </c>
      <c r="N226" s="44" t="s">
        <v>38</v>
      </c>
      <c r="O226" s="97"/>
      <c r="P226" s="97"/>
      <c r="Q226" s="97"/>
      <c r="R226" s="97"/>
    </row>
    <row r="227" spans="1:18" ht="15">
      <c r="A227" s="45">
        <v>44378</v>
      </c>
      <c r="B227" s="46">
        <f t="shared" si="16"/>
        <v>2021</v>
      </c>
      <c r="C227" s="46">
        <f t="shared" si="17"/>
        <v>7</v>
      </c>
      <c r="D227" s="45" t="str">
        <f t="shared" si="19"/>
        <v>20217</v>
      </c>
      <c r="E227" s="52" t="s">
        <v>46</v>
      </c>
      <c r="F227" s="47" t="s">
        <v>28</v>
      </c>
      <c r="G227" s="48">
        <f>VLOOKUP(D227,[2]Sheet1!$E$3:$F$321,2,0)</f>
        <v>8.3000000000000007</v>
      </c>
      <c r="H227" s="49">
        <f>VLOOKUP(D227,[3]Sheet1!$E$3:$F$239,2,0)</f>
        <v>10737</v>
      </c>
      <c r="I227" s="70">
        <v>10.7</v>
      </c>
      <c r="J227" s="48"/>
      <c r="K227" s="65" t="s">
        <v>37</v>
      </c>
      <c r="L227" s="44" t="str">
        <f t="shared" si="20"/>
        <v>宽货币-紧信用</v>
      </c>
      <c r="M227" s="44" t="str">
        <f t="shared" si="18"/>
        <v>萧条</v>
      </c>
      <c r="N227" s="44" t="s">
        <v>40</v>
      </c>
      <c r="O227" s="97"/>
      <c r="P227" s="97"/>
      <c r="Q227" s="97"/>
      <c r="R227" s="97"/>
    </row>
    <row r="228" spans="1:18" ht="14">
      <c r="A228" s="45">
        <v>44409</v>
      </c>
      <c r="B228" s="46">
        <f t="shared" si="16"/>
        <v>2021</v>
      </c>
      <c r="C228" s="46">
        <f t="shared" si="17"/>
        <v>8</v>
      </c>
      <c r="D228" s="45" t="str">
        <f t="shared" si="19"/>
        <v>20218</v>
      </c>
      <c r="F228" s="47" t="s">
        <v>28</v>
      </c>
      <c r="G228" s="48">
        <f>VLOOKUP(D228,[2]Sheet1!$E$3:$F$321,2,0)</f>
        <v>8.1999999999999993</v>
      </c>
      <c r="H228" s="49">
        <f>VLOOKUP(D228,[3]Sheet1!$E$3:$F$239,2,0)</f>
        <v>29558</v>
      </c>
      <c r="I228" s="70">
        <v>10.3</v>
      </c>
      <c r="J228" s="48"/>
      <c r="K228" s="65" t="s">
        <v>37</v>
      </c>
      <c r="L228" s="44" t="str">
        <f t="shared" si="20"/>
        <v>宽货币-紧信用</v>
      </c>
      <c r="M228" s="44" t="str">
        <f t="shared" si="18"/>
        <v>萧条</v>
      </c>
      <c r="N228" s="44" t="s">
        <v>40</v>
      </c>
      <c r="O228" s="97"/>
      <c r="P228" s="97"/>
      <c r="Q228" s="97"/>
      <c r="R228" s="97"/>
    </row>
    <row r="229" spans="1:18" ht="14">
      <c r="A229" s="45">
        <v>44440</v>
      </c>
      <c r="B229" s="46">
        <f t="shared" si="16"/>
        <v>2021</v>
      </c>
      <c r="C229" s="46">
        <f t="shared" si="17"/>
        <v>9</v>
      </c>
      <c r="D229" s="45" t="str">
        <f t="shared" si="19"/>
        <v>20219</v>
      </c>
      <c r="E229" s="48"/>
      <c r="F229" s="47" t="s">
        <v>28</v>
      </c>
      <c r="G229" s="48">
        <v>8.3000000000000007</v>
      </c>
      <c r="H229" s="49">
        <v>29000</v>
      </c>
      <c r="I229" s="70">
        <v>10</v>
      </c>
      <c r="J229" s="48"/>
      <c r="K229" s="65" t="s">
        <v>37</v>
      </c>
      <c r="L229" s="44" t="str">
        <f t="shared" si="20"/>
        <v>宽货币-紧信用</v>
      </c>
      <c r="M229" s="44" t="str">
        <f t="shared" si="18"/>
        <v>萧条</v>
      </c>
      <c r="N229" s="44" t="s">
        <v>40</v>
      </c>
      <c r="O229" s="97"/>
      <c r="P229" s="97"/>
      <c r="Q229" s="97"/>
      <c r="R229" s="97"/>
    </row>
    <row r="231" spans="1:18" ht="15">
      <c r="E231" s="80" t="s">
        <v>88</v>
      </c>
    </row>
    <row r="235" spans="1:18" ht="15">
      <c r="J235" s="82" t="s">
        <v>89</v>
      </c>
    </row>
  </sheetData>
  <autoFilter ref="A3:AB229" xr:uid="{00000000-0009-0000-0000-000000000000}"/>
  <mergeCells count="129">
    <mergeCell ref="R227:R229"/>
    <mergeCell ref="B1:D3"/>
    <mergeCell ref="Q227:Q229"/>
    <mergeCell ref="R4:R10"/>
    <mergeCell ref="R11:R12"/>
    <mergeCell ref="R13:R27"/>
    <mergeCell ref="R28:R40"/>
    <mergeCell ref="R41:R44"/>
    <mergeCell ref="R45:R66"/>
    <mergeCell ref="R67:R73"/>
    <mergeCell ref="R74:R76"/>
    <mergeCell ref="R77:R83"/>
    <mergeCell ref="R84:R88"/>
    <mergeCell ref="R89:R94"/>
    <mergeCell ref="R95:R100"/>
    <mergeCell ref="R101:R111"/>
    <mergeCell ref="R112:R130"/>
    <mergeCell ref="R131:R139"/>
    <mergeCell ref="R140:R142"/>
    <mergeCell ref="R143:R152"/>
    <mergeCell ref="P203:P210"/>
    <mergeCell ref="P211:P215"/>
    <mergeCell ref="P216:P218"/>
    <mergeCell ref="P219:P226"/>
    <mergeCell ref="R153:R161"/>
    <mergeCell ref="R162:R167"/>
    <mergeCell ref="R168:R173"/>
    <mergeCell ref="R174:R188"/>
    <mergeCell ref="R189:R196"/>
    <mergeCell ref="R197:R202"/>
    <mergeCell ref="Q162:Q167"/>
    <mergeCell ref="Q168:Q173"/>
    <mergeCell ref="Q174:Q188"/>
    <mergeCell ref="Q189:Q196"/>
    <mergeCell ref="Q197:Q202"/>
    <mergeCell ref="R203:R210"/>
    <mergeCell ref="R211:R215"/>
    <mergeCell ref="R216:R218"/>
    <mergeCell ref="R219:R226"/>
    <mergeCell ref="P227:P229"/>
    <mergeCell ref="Q4:Q10"/>
    <mergeCell ref="Q11:Q12"/>
    <mergeCell ref="Q13:Q27"/>
    <mergeCell ref="Q28:Q40"/>
    <mergeCell ref="Q41:Q44"/>
    <mergeCell ref="Q45:Q66"/>
    <mergeCell ref="Q67:Q73"/>
    <mergeCell ref="Q74:Q76"/>
    <mergeCell ref="Q77:Q83"/>
    <mergeCell ref="Q84:Q88"/>
    <mergeCell ref="Q89:Q94"/>
    <mergeCell ref="Q95:Q100"/>
    <mergeCell ref="Q101:Q111"/>
    <mergeCell ref="Q112:Q130"/>
    <mergeCell ref="Q131:Q139"/>
    <mergeCell ref="Q140:Q142"/>
    <mergeCell ref="Q143:Q152"/>
    <mergeCell ref="Q153:Q161"/>
    <mergeCell ref="Q203:Q210"/>
    <mergeCell ref="Q211:Q215"/>
    <mergeCell ref="Q216:Q218"/>
    <mergeCell ref="Q219:Q226"/>
    <mergeCell ref="P197:P202"/>
    <mergeCell ref="O219:O226"/>
    <mergeCell ref="O227:O229"/>
    <mergeCell ref="P4:P10"/>
    <mergeCell ref="P11:P12"/>
    <mergeCell ref="P13:P27"/>
    <mergeCell ref="P28:P40"/>
    <mergeCell ref="P41:P44"/>
    <mergeCell ref="P45:P66"/>
    <mergeCell ref="P67:P73"/>
    <mergeCell ref="P74:P76"/>
    <mergeCell ref="P77:P83"/>
    <mergeCell ref="P84:P88"/>
    <mergeCell ref="P89:P94"/>
    <mergeCell ref="P95:P100"/>
    <mergeCell ref="P101:P111"/>
    <mergeCell ref="P112:P130"/>
    <mergeCell ref="P131:P139"/>
    <mergeCell ref="P140:P142"/>
    <mergeCell ref="P143:P152"/>
    <mergeCell ref="P153:P161"/>
    <mergeCell ref="P162:P167"/>
    <mergeCell ref="P168:P173"/>
    <mergeCell ref="P174:P188"/>
    <mergeCell ref="P189:P196"/>
    <mergeCell ref="O153:O161"/>
    <mergeCell ref="O162:O167"/>
    <mergeCell ref="O168:O173"/>
    <mergeCell ref="O174:O188"/>
    <mergeCell ref="O189:O196"/>
    <mergeCell ref="O197:O202"/>
    <mergeCell ref="O203:O210"/>
    <mergeCell ref="O211:O215"/>
    <mergeCell ref="O216:O218"/>
    <mergeCell ref="O77:O83"/>
    <mergeCell ref="O84:O88"/>
    <mergeCell ref="O89:O94"/>
    <mergeCell ref="O95:O100"/>
    <mergeCell ref="O101:O111"/>
    <mergeCell ref="O112:O130"/>
    <mergeCell ref="O131:O139"/>
    <mergeCell ref="O140:O142"/>
    <mergeCell ref="O143:O152"/>
    <mergeCell ref="E1:F1"/>
    <mergeCell ref="G1:K1"/>
    <mergeCell ref="O1:R1"/>
    <mergeCell ref="S1:AB1"/>
    <mergeCell ref="A1:A3"/>
    <mergeCell ref="E2:E3"/>
    <mergeCell ref="E218:E221"/>
    <mergeCell ref="F2:F3"/>
    <mergeCell ref="G2:G3"/>
    <mergeCell ref="H2:H3"/>
    <mergeCell ref="I2:I3"/>
    <mergeCell ref="J2:J3"/>
    <mergeCell ref="K2:K3"/>
    <mergeCell ref="L1:L3"/>
    <mergeCell ref="M1:M3"/>
    <mergeCell ref="N1:N3"/>
    <mergeCell ref="O4:O10"/>
    <mergeCell ref="O11:O12"/>
    <mergeCell ref="O13:O27"/>
    <mergeCell ref="O28:O40"/>
    <mergeCell ref="O41:O44"/>
    <mergeCell ref="O45:O66"/>
    <mergeCell ref="O67:O73"/>
    <mergeCell ref="O74:O76"/>
  </mergeCells>
  <conditionalFormatting sqref="N1">
    <cfRule type="containsText" dxfId="17" priority="6" operator="containsText" text="萧条">
      <formula>NOT(ISERROR(SEARCH("萧条",N1)))</formula>
    </cfRule>
    <cfRule type="containsText" dxfId="16" priority="7" operator="containsText" text="滞涨">
      <formula>NOT(ISERROR(SEARCH("滞涨",N1)))</formula>
    </cfRule>
    <cfRule type="containsText" dxfId="15" priority="8" operator="containsText" text="过热">
      <formula>NOT(ISERROR(SEARCH("过热",N1)))</formula>
    </cfRule>
    <cfRule type="containsText" dxfId="14" priority="9" operator="containsText" text="复苏">
      <formula>NOT(ISERROR(SEARCH("复苏",N1)))</formula>
    </cfRule>
  </conditionalFormatting>
  <conditionalFormatting sqref="M4">
    <cfRule type="containsText" dxfId="13" priority="18" operator="containsText" text="复苏">
      <formula>NOT(ISERROR(SEARCH("复苏",M4)))</formula>
    </cfRule>
  </conditionalFormatting>
  <conditionalFormatting sqref="N4">
    <cfRule type="containsText" dxfId="12" priority="5" operator="containsText" text="复苏">
      <formula>NOT(ISERROR(SEARCH("复苏",N4)))</formula>
    </cfRule>
  </conditionalFormatting>
  <conditionalFormatting sqref="N4:N229">
    <cfRule type="containsText" dxfId="11" priority="1" operator="containsText" text="萧条">
      <formula>NOT(ISERROR(SEARCH("萧条",N4)))</formula>
    </cfRule>
    <cfRule type="containsText" dxfId="10" priority="2" operator="containsText" text="滞涨">
      <formula>NOT(ISERROR(SEARCH("滞涨",N4)))</formula>
    </cfRule>
    <cfRule type="containsText" dxfId="9" priority="3" operator="containsText" text="过热">
      <formula>NOT(ISERROR(SEARCH("过热",N4)))</formula>
    </cfRule>
    <cfRule type="containsText" dxfId="8" priority="4" operator="containsText" text="复苏">
      <formula>NOT(ISERROR(SEARCH("复苏",N4)))</formula>
    </cfRule>
  </conditionalFormatting>
  <conditionalFormatting sqref="M230:N1048576 L4:L229 L1">
    <cfRule type="containsText" dxfId="7" priority="10" operator="containsText" text="紧货币-宽信用">
      <formula>NOT(ISERROR(SEARCH("紧货币-宽信用",L1)))</formula>
    </cfRule>
    <cfRule type="containsText" dxfId="6" priority="11" operator="containsText" text="宽货币-紧信用">
      <formula>NOT(ISERROR(SEARCH("宽货币-紧信用",L1)))</formula>
    </cfRule>
    <cfRule type="containsText" dxfId="5" priority="12" operator="containsText" text="紧货币-紧信用">
      <formula>NOT(ISERROR(SEARCH("紧货币-紧信用",L1)))</formula>
    </cfRule>
    <cfRule type="containsText" dxfId="4" priority="13" operator="containsText" text="宽货币-宽信用">
      <formula>NOT(ISERROR(SEARCH("宽货币-宽信用",L1)))</formula>
    </cfRule>
  </conditionalFormatting>
  <conditionalFormatting sqref="M1 M4:M229 O230:O1048576">
    <cfRule type="containsText" dxfId="3" priority="14" operator="containsText" text="萧条">
      <formula>NOT(ISERROR(SEARCH("萧条",M1)))</formula>
    </cfRule>
    <cfRule type="containsText" dxfId="2" priority="15" operator="containsText" text="滞涨">
      <formula>NOT(ISERROR(SEARCH("滞涨",M1)))</formula>
    </cfRule>
    <cfRule type="containsText" dxfId="1" priority="16" operator="containsText" text="过热">
      <formula>NOT(ISERROR(SEARCH("过热",M1)))</formula>
    </cfRule>
    <cfRule type="containsText" dxfId="0" priority="17" operator="containsText" text="复苏">
      <formula>NOT(ISERROR(SEARCH("复苏",M1)))</formula>
    </cfRule>
  </conditionalFormatting>
  <pageMargins left="0.75" right="0.75" top="1" bottom="1" header="0.5" footer="0.5"/>
  <pageSetup paperSize="9" orientation="portrait" horizontalDpi="1200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topLeftCell="A108" zoomScale="125" workbookViewId="0">
      <selection activeCell="H69" sqref="H69"/>
    </sheetView>
  </sheetViews>
  <sheetFormatPr baseColWidth="10" defaultColWidth="9" defaultRowHeight="14"/>
  <cols>
    <col min="1" max="1" width="11.1640625" style="28" customWidth="1"/>
    <col min="2" max="2" width="14.6640625" style="28" customWidth="1"/>
    <col min="3" max="3" width="14.83203125" style="28" customWidth="1"/>
    <col min="4" max="4" width="14" style="28" customWidth="1"/>
    <col min="5" max="5" width="13.6640625" style="28" customWidth="1"/>
    <col min="6" max="6" width="12.1640625" style="28" customWidth="1"/>
    <col min="7" max="7" width="13.6640625" style="28" customWidth="1"/>
    <col min="8" max="8" width="11.6640625" style="28" customWidth="1"/>
    <col min="9" max="9" width="11.1640625" style="28" customWidth="1"/>
    <col min="10" max="10" width="9" style="28"/>
    <col min="11" max="11" width="10.6640625" style="28" customWidth="1"/>
    <col min="12" max="16384" width="9" style="28"/>
  </cols>
  <sheetData>
    <row r="1" spans="1:10" ht="38" customHeight="1">
      <c r="A1" s="27" t="s">
        <v>90</v>
      </c>
    </row>
    <row r="2" spans="1:10" ht="20" customHeight="1">
      <c r="C2" s="29" t="s">
        <v>91</v>
      </c>
      <c r="J2" s="29" t="s">
        <v>92</v>
      </c>
    </row>
    <row r="3" spans="1:10">
      <c r="B3" s="83" t="s">
        <v>93</v>
      </c>
      <c r="C3" s="83" t="s">
        <v>94</v>
      </c>
      <c r="D3" s="83" t="s">
        <v>95</v>
      </c>
      <c r="E3" s="83" t="s">
        <v>96</v>
      </c>
      <c r="F3" s="83" t="s">
        <v>97</v>
      </c>
    </row>
    <row r="4" spans="1:10">
      <c r="B4" s="83" t="s">
        <v>31</v>
      </c>
      <c r="C4" s="83">
        <v>66</v>
      </c>
      <c r="D4" s="84">
        <f>C4/C8</f>
        <v>0.29203539823008851</v>
      </c>
      <c r="E4" s="83">
        <v>9</v>
      </c>
      <c r="F4" s="85">
        <f>C4/E4</f>
        <v>7.333333333333333</v>
      </c>
    </row>
    <row r="5" spans="1:10">
      <c r="B5" s="83" t="s">
        <v>35</v>
      </c>
      <c r="C5" s="83">
        <v>38</v>
      </c>
      <c r="D5" s="84">
        <f>C5/C8</f>
        <v>0.16814159292035399</v>
      </c>
      <c r="E5" s="83">
        <v>5</v>
      </c>
      <c r="F5" s="85">
        <f>C5/E5</f>
        <v>7.6</v>
      </c>
    </row>
    <row r="6" spans="1:10">
      <c r="B6" s="83" t="s">
        <v>38</v>
      </c>
      <c r="C6" s="83">
        <v>71</v>
      </c>
      <c r="D6" s="84">
        <f>C6/C8</f>
        <v>0.31415929203539822</v>
      </c>
      <c r="E6" s="83">
        <v>7</v>
      </c>
      <c r="F6" s="85">
        <f>C6/E6</f>
        <v>10.142857142857142</v>
      </c>
    </row>
    <row r="7" spans="1:10">
      <c r="B7" s="83" t="s">
        <v>40</v>
      </c>
      <c r="C7" s="83">
        <v>51</v>
      </c>
      <c r="D7" s="84">
        <f>C7/C8</f>
        <v>0.22566371681415928</v>
      </c>
      <c r="E7" s="83">
        <v>7</v>
      </c>
      <c r="F7" s="85">
        <f>C7/E7</f>
        <v>7.2857142857142856</v>
      </c>
    </row>
    <row r="8" spans="1:10">
      <c r="B8" s="83" t="s">
        <v>98</v>
      </c>
      <c r="C8" s="83">
        <v>226</v>
      </c>
      <c r="D8" s="32">
        <v>1</v>
      </c>
      <c r="E8" s="33" t="s">
        <v>234</v>
      </c>
      <c r="F8" s="83" t="s">
        <v>29</v>
      </c>
    </row>
    <row r="11" spans="1:10" ht="27" customHeight="1">
      <c r="A11" s="27" t="s">
        <v>99</v>
      </c>
    </row>
    <row r="13" spans="1:10" ht="20" customHeight="1">
      <c r="C13" s="27" t="s">
        <v>100</v>
      </c>
      <c r="I13" s="37"/>
      <c r="J13" s="29" t="s">
        <v>101</v>
      </c>
    </row>
    <row r="14" spans="1:10">
      <c r="B14" s="83" t="s">
        <v>102</v>
      </c>
      <c r="C14" s="83" t="s">
        <v>31</v>
      </c>
      <c r="D14" s="83" t="s">
        <v>35</v>
      </c>
      <c r="E14" s="83" t="s">
        <v>38</v>
      </c>
      <c r="F14" s="83" t="s">
        <v>40</v>
      </c>
      <c r="G14" s="83" t="s">
        <v>98</v>
      </c>
      <c r="H14" s="83" t="s">
        <v>103</v>
      </c>
    </row>
    <row r="15" spans="1:10">
      <c r="B15" s="83" t="s">
        <v>31</v>
      </c>
      <c r="C15" s="83" t="s">
        <v>29</v>
      </c>
      <c r="D15" s="83" t="s">
        <v>233</v>
      </c>
      <c r="E15" s="83">
        <v>2</v>
      </c>
      <c r="F15" s="83">
        <v>3</v>
      </c>
      <c r="G15" s="85">
        <v>9</v>
      </c>
      <c r="H15" s="106">
        <v>0.70369999999999999</v>
      </c>
    </row>
    <row r="16" spans="1:10">
      <c r="B16" s="83" t="s">
        <v>35</v>
      </c>
      <c r="C16" s="83">
        <v>0</v>
      </c>
      <c r="D16" s="83" t="s">
        <v>29</v>
      </c>
      <c r="E16" s="83" t="s">
        <v>235</v>
      </c>
      <c r="F16" s="83">
        <v>0</v>
      </c>
      <c r="G16" s="85">
        <v>5</v>
      </c>
      <c r="H16" s="106"/>
    </row>
    <row r="17" spans="2:10">
      <c r="B17" s="83" t="s">
        <v>38</v>
      </c>
      <c r="C17" s="83">
        <v>2</v>
      </c>
      <c r="D17" s="83">
        <v>1</v>
      </c>
      <c r="E17" s="83" t="s">
        <v>29</v>
      </c>
      <c r="F17" s="83" t="s">
        <v>236</v>
      </c>
      <c r="G17" s="85">
        <v>7</v>
      </c>
      <c r="H17" s="106"/>
    </row>
    <row r="18" spans="2:10">
      <c r="B18" s="83" t="s">
        <v>40</v>
      </c>
      <c r="C18" s="83" t="s">
        <v>237</v>
      </c>
      <c r="D18" s="83">
        <v>0</v>
      </c>
      <c r="E18" s="83">
        <v>0</v>
      </c>
      <c r="F18" s="83" t="s">
        <v>29</v>
      </c>
      <c r="G18" s="85">
        <v>6</v>
      </c>
      <c r="H18" s="106"/>
    </row>
    <row r="19" spans="2:10">
      <c r="B19" s="83" t="s">
        <v>104</v>
      </c>
      <c r="C19" s="101" t="s">
        <v>29</v>
      </c>
      <c r="D19" s="102"/>
      <c r="E19" s="102"/>
      <c r="F19" s="103"/>
      <c r="G19" s="33" t="s">
        <v>238</v>
      </c>
      <c r="H19" s="106"/>
    </row>
    <row r="20" spans="2:10">
      <c r="B20" s="28" t="s">
        <v>105</v>
      </c>
    </row>
    <row r="22" spans="2:10">
      <c r="C22" s="27" t="s">
        <v>106</v>
      </c>
      <c r="J22" s="29" t="s">
        <v>107</v>
      </c>
    </row>
    <row r="23" spans="2:10">
      <c r="B23" s="30" t="s">
        <v>102</v>
      </c>
      <c r="C23" s="30" t="s">
        <v>31</v>
      </c>
      <c r="D23" s="30" t="s">
        <v>35</v>
      </c>
      <c r="E23" s="30" t="s">
        <v>38</v>
      </c>
      <c r="F23" s="30" t="s">
        <v>40</v>
      </c>
      <c r="G23" s="30" t="s">
        <v>98</v>
      </c>
      <c r="H23" s="30" t="s">
        <v>103</v>
      </c>
    </row>
    <row r="24" spans="2:10">
      <c r="B24" s="30" t="s">
        <v>31</v>
      </c>
      <c r="C24" s="84" t="s">
        <v>29</v>
      </c>
      <c r="D24" s="84">
        <v>0.44444444444444442</v>
      </c>
      <c r="E24" s="84">
        <v>0.22222222222222221</v>
      </c>
      <c r="F24" s="84">
        <v>0.33333333333333331</v>
      </c>
      <c r="G24" s="84">
        <v>1</v>
      </c>
      <c r="H24" s="84">
        <f>D24</f>
        <v>0.44444444444444442</v>
      </c>
    </row>
    <row r="25" spans="2:10">
      <c r="B25" s="30" t="s">
        <v>35</v>
      </c>
      <c r="C25" s="84">
        <v>0</v>
      </c>
      <c r="D25" s="84" t="s">
        <v>29</v>
      </c>
      <c r="E25" s="84">
        <v>1</v>
      </c>
      <c r="F25" s="84">
        <v>0</v>
      </c>
      <c r="G25" s="84">
        <v>1</v>
      </c>
      <c r="H25" s="84">
        <f>E25</f>
        <v>1</v>
      </c>
    </row>
    <row r="26" spans="2:10">
      <c r="B26" s="30" t="s">
        <v>38</v>
      </c>
      <c r="C26" s="84">
        <v>0.2857142857142857</v>
      </c>
      <c r="D26" s="84">
        <v>0.14285714285714299</v>
      </c>
      <c r="E26" s="84" t="s">
        <v>29</v>
      </c>
      <c r="F26" s="84">
        <v>0.5714285714285714</v>
      </c>
      <c r="G26" s="84">
        <v>1</v>
      </c>
      <c r="H26" s="84">
        <f>F26</f>
        <v>0.5714285714285714</v>
      </c>
    </row>
    <row r="27" spans="2:10">
      <c r="B27" s="30" t="s">
        <v>40</v>
      </c>
      <c r="C27" s="84">
        <v>1</v>
      </c>
      <c r="D27" s="84"/>
      <c r="E27" s="84"/>
      <c r="F27" s="84" t="s">
        <v>29</v>
      </c>
      <c r="G27" s="84">
        <v>1</v>
      </c>
      <c r="H27" s="84">
        <f>C27</f>
        <v>1</v>
      </c>
    </row>
    <row r="28" spans="2:10">
      <c r="B28" s="28" t="s">
        <v>108</v>
      </c>
      <c r="H28" s="34"/>
    </row>
    <row r="29" spans="2:10">
      <c r="B29" s="28" t="s">
        <v>109</v>
      </c>
    </row>
    <row r="30" spans="2:10">
      <c r="B30" s="28" t="s">
        <v>110</v>
      </c>
    </row>
    <row r="31" spans="2:10">
      <c r="B31" s="28" t="s">
        <v>111</v>
      </c>
    </row>
    <row r="34" spans="1:8" ht="24" customHeight="1">
      <c r="A34" s="27" t="s">
        <v>112</v>
      </c>
    </row>
    <row r="35" spans="1:8" ht="20" customHeight="1">
      <c r="C35" s="27" t="s">
        <v>113</v>
      </c>
    </row>
    <row r="36" spans="1:8" ht="30">
      <c r="B36" s="35" t="s">
        <v>114</v>
      </c>
      <c r="C36" s="30" t="s">
        <v>14</v>
      </c>
      <c r="D36" s="30" t="s">
        <v>16</v>
      </c>
      <c r="E36" s="30" t="s">
        <v>15</v>
      </c>
      <c r="F36" s="30" t="s">
        <v>17</v>
      </c>
      <c r="G36" s="30" t="s">
        <v>115</v>
      </c>
      <c r="H36" s="36" t="s">
        <v>116</v>
      </c>
    </row>
    <row r="37" spans="1:8">
      <c r="B37" s="30" t="s">
        <v>31</v>
      </c>
      <c r="C37" s="86">
        <v>0.36159999999999998</v>
      </c>
      <c r="D37" s="86">
        <v>2.76E-2</v>
      </c>
      <c r="E37" s="86">
        <v>3.6499999999999998E-2</v>
      </c>
      <c r="F37" s="86">
        <v>1.8700000000000001E-2</v>
      </c>
      <c r="G37" s="31" t="s">
        <v>14</v>
      </c>
      <c r="H37" s="31" t="s">
        <v>240</v>
      </c>
    </row>
    <row r="38" spans="1:8">
      <c r="B38" s="30" t="s">
        <v>35</v>
      </c>
      <c r="C38" s="86">
        <v>0.35820000000000002</v>
      </c>
      <c r="D38" s="86">
        <v>0.25540000000000002</v>
      </c>
      <c r="E38" s="86">
        <v>1.01E-2</v>
      </c>
      <c r="F38" s="86">
        <v>1.9599999999999999E-2</v>
      </c>
      <c r="G38" s="31" t="s">
        <v>14</v>
      </c>
      <c r="H38" s="31" t="s">
        <v>241</v>
      </c>
    </row>
    <row r="39" spans="1:8">
      <c r="B39" s="30" t="s">
        <v>38</v>
      </c>
      <c r="C39" s="86">
        <v>-0.21779999999999999</v>
      </c>
      <c r="D39" s="86">
        <v>0.10059999999999999</v>
      </c>
      <c r="E39" s="86">
        <v>3.3300000000000003E-2</v>
      </c>
      <c r="F39" s="86">
        <v>2.6200000000000001E-2</v>
      </c>
      <c r="G39" s="31" t="s">
        <v>16</v>
      </c>
      <c r="H39" s="31" t="s">
        <v>241</v>
      </c>
    </row>
    <row r="40" spans="1:8">
      <c r="B40" s="30" t="s">
        <v>40</v>
      </c>
      <c r="C40" s="86">
        <v>2.86E-2</v>
      </c>
      <c r="D40" s="86">
        <v>-0.22950000000000001</v>
      </c>
      <c r="E40" s="86">
        <v>9.3799999999999994E-2</v>
      </c>
      <c r="F40" s="86">
        <v>2.23E-2</v>
      </c>
      <c r="G40" s="31" t="s">
        <v>242</v>
      </c>
      <c r="H40" s="31" t="s">
        <v>240</v>
      </c>
    </row>
    <row r="42" spans="1:8">
      <c r="B42" s="28" t="s">
        <v>117</v>
      </c>
    </row>
    <row r="43" spans="1:8">
      <c r="D43" s="28" t="s">
        <v>14</v>
      </c>
    </row>
    <row r="44" spans="1:8">
      <c r="C44" s="28" t="s">
        <v>118</v>
      </c>
      <c r="D44" s="28" t="s">
        <v>119</v>
      </c>
    </row>
    <row r="45" spans="1:8">
      <c r="C45" s="28" t="s">
        <v>120</v>
      </c>
      <c r="D45" s="28" t="s">
        <v>121</v>
      </c>
    </row>
    <row r="46" spans="1:8">
      <c r="C46" s="28" t="s">
        <v>122</v>
      </c>
      <c r="D46" s="28" t="s">
        <v>123</v>
      </c>
    </row>
    <row r="47" spans="1:8">
      <c r="C47" s="28" t="s">
        <v>124</v>
      </c>
      <c r="D47" s="28" t="s">
        <v>125</v>
      </c>
    </row>
    <row r="48" spans="1:8">
      <c r="C48" s="28" t="s">
        <v>126</v>
      </c>
      <c r="D48" s="28" t="s">
        <v>127</v>
      </c>
    </row>
    <row r="49" spans="2:10">
      <c r="C49" s="28" t="s">
        <v>128</v>
      </c>
    </row>
    <row r="50" spans="2:10">
      <c r="C50" s="28" t="s">
        <v>129</v>
      </c>
    </row>
    <row r="54" spans="2:10" ht="19" customHeight="1">
      <c r="C54" s="27" t="s">
        <v>130</v>
      </c>
    </row>
    <row r="55" spans="2:10" ht="30">
      <c r="B55" s="35" t="s">
        <v>114</v>
      </c>
      <c r="C55" s="30" t="s">
        <v>14</v>
      </c>
      <c r="D55" s="30" t="s">
        <v>16</v>
      </c>
      <c r="E55" s="30" t="s">
        <v>15</v>
      </c>
      <c r="F55" s="30" t="s">
        <v>17</v>
      </c>
      <c r="G55" s="30" t="s">
        <v>115</v>
      </c>
      <c r="H55" s="36" t="s">
        <v>116</v>
      </c>
    </row>
    <row r="56" spans="2:10">
      <c r="B56" s="30" t="s">
        <v>31</v>
      </c>
      <c r="C56" s="84">
        <v>0.44444444444444442</v>
      </c>
      <c r="D56" s="84">
        <v>0.22222222222222221</v>
      </c>
      <c r="E56" s="84">
        <v>0.22222222222222221</v>
      </c>
      <c r="F56" s="84">
        <v>0.1111111111111111</v>
      </c>
      <c r="G56" s="86" t="s">
        <v>14</v>
      </c>
      <c r="H56" s="86" t="s">
        <v>240</v>
      </c>
    </row>
    <row r="57" spans="2:10">
      <c r="B57" s="30" t="s">
        <v>35</v>
      </c>
      <c r="C57" s="84">
        <v>0.2</v>
      </c>
      <c r="D57" s="84">
        <v>0.8</v>
      </c>
      <c r="E57" s="84">
        <v>0</v>
      </c>
      <c r="F57" s="84">
        <v>0</v>
      </c>
      <c r="G57" s="86" t="s">
        <v>16</v>
      </c>
      <c r="H57" s="86" t="s">
        <v>240</v>
      </c>
    </row>
    <row r="58" spans="2:10">
      <c r="B58" s="30" t="s">
        <v>38</v>
      </c>
      <c r="C58" s="84">
        <v>0.14285714285714285</v>
      </c>
      <c r="D58" s="84">
        <v>0.14285714285714285</v>
      </c>
      <c r="E58" s="84">
        <v>0.7142857142857143</v>
      </c>
      <c r="F58" s="84">
        <v>0</v>
      </c>
      <c r="G58" s="86" t="s">
        <v>242</v>
      </c>
      <c r="H58" s="86" t="s">
        <v>241</v>
      </c>
    </row>
    <row r="59" spans="2:10">
      <c r="B59" s="30" t="s">
        <v>40</v>
      </c>
      <c r="C59" s="84">
        <v>0.2857142857142857</v>
      </c>
      <c r="D59" s="84">
        <v>0.14285714285714285</v>
      </c>
      <c r="E59" s="84">
        <v>0.5714285714285714</v>
      </c>
      <c r="F59" s="84">
        <v>0</v>
      </c>
      <c r="G59" s="86" t="s">
        <v>242</v>
      </c>
      <c r="H59" s="86" t="s">
        <v>240</v>
      </c>
    </row>
    <row r="60" spans="2:10">
      <c r="B60" s="28" t="s">
        <v>131</v>
      </c>
    </row>
    <row r="61" spans="2:10">
      <c r="B61" s="28" t="s">
        <v>132</v>
      </c>
    </row>
    <row r="63" spans="2:10">
      <c r="C63" s="27" t="s">
        <v>133</v>
      </c>
      <c r="J63" s="29" t="s">
        <v>134</v>
      </c>
    </row>
    <row r="64" spans="2:10">
      <c r="B64" s="30" t="s">
        <v>135</v>
      </c>
      <c r="C64" s="30" t="s">
        <v>136</v>
      </c>
      <c r="D64" s="30" t="s">
        <v>31</v>
      </c>
      <c r="E64" s="30" t="s">
        <v>35</v>
      </c>
      <c r="F64" s="30" t="s">
        <v>38</v>
      </c>
      <c r="G64" s="30" t="s">
        <v>40</v>
      </c>
    </row>
    <row r="65" spans="2:8">
      <c r="B65" s="104" t="s">
        <v>14</v>
      </c>
      <c r="C65" s="30" t="s">
        <v>137</v>
      </c>
      <c r="D65" s="90">
        <v>0.77777777777777779</v>
      </c>
      <c r="E65" s="90">
        <v>0.4</v>
      </c>
      <c r="F65" s="87">
        <v>0.2857142857142857</v>
      </c>
      <c r="G65" s="87">
        <v>0.42857142857142855</v>
      </c>
    </row>
    <row r="66" spans="2:8">
      <c r="B66" s="104"/>
      <c r="C66" s="30" t="s">
        <v>138</v>
      </c>
      <c r="D66" s="87">
        <v>0</v>
      </c>
      <c r="E66" s="87">
        <v>0.2</v>
      </c>
      <c r="F66" s="87">
        <v>0</v>
      </c>
      <c r="G66" s="87">
        <v>0</v>
      </c>
      <c r="H66" s="28" t="s">
        <v>239</v>
      </c>
    </row>
    <row r="67" spans="2:8">
      <c r="B67" s="104"/>
      <c r="C67" s="30" t="s">
        <v>139</v>
      </c>
      <c r="D67" s="87">
        <v>0.2857142857142857</v>
      </c>
      <c r="E67" s="87">
        <v>0.4</v>
      </c>
      <c r="F67" s="87">
        <v>0.7142857142857143</v>
      </c>
      <c r="G67" s="87">
        <v>0.5714285714285714</v>
      </c>
    </row>
    <row r="68" spans="2:8">
      <c r="B68" s="104"/>
      <c r="C68" s="30" t="s">
        <v>98</v>
      </c>
      <c r="D68" s="87">
        <v>1</v>
      </c>
      <c r="E68" s="87">
        <v>1</v>
      </c>
      <c r="F68" s="87">
        <v>1</v>
      </c>
      <c r="G68" s="87">
        <v>1</v>
      </c>
    </row>
    <row r="69" spans="2:8">
      <c r="B69" s="104" t="s">
        <v>16</v>
      </c>
      <c r="C69" s="30" t="s">
        <v>137</v>
      </c>
      <c r="D69" s="31"/>
      <c r="E69" s="31"/>
      <c r="F69" s="31"/>
      <c r="G69" s="31"/>
    </row>
    <row r="70" spans="2:8">
      <c r="B70" s="104"/>
      <c r="C70" s="30" t="s">
        <v>138</v>
      </c>
      <c r="D70" s="31"/>
      <c r="E70" s="31"/>
      <c r="F70" s="31"/>
      <c r="G70" s="31"/>
    </row>
    <row r="71" spans="2:8">
      <c r="B71" s="104"/>
      <c r="C71" s="30" t="s">
        <v>139</v>
      </c>
      <c r="D71" s="31"/>
      <c r="E71" s="31"/>
      <c r="F71" s="31"/>
      <c r="G71" s="31"/>
    </row>
    <row r="72" spans="2:8">
      <c r="B72" s="104"/>
      <c r="C72" s="30" t="s">
        <v>98</v>
      </c>
      <c r="D72" s="31"/>
      <c r="E72" s="31"/>
      <c r="F72" s="31"/>
      <c r="G72" s="31"/>
    </row>
    <row r="73" spans="2:8">
      <c r="B73" s="104" t="s">
        <v>15</v>
      </c>
      <c r="C73" s="30" t="s">
        <v>137</v>
      </c>
      <c r="D73" s="31"/>
      <c r="E73" s="31"/>
      <c r="F73" s="31"/>
      <c r="G73" s="31"/>
    </row>
    <row r="74" spans="2:8">
      <c r="B74" s="104"/>
      <c r="C74" s="30" t="s">
        <v>138</v>
      </c>
      <c r="D74" s="31"/>
      <c r="E74" s="31"/>
      <c r="F74" s="31"/>
      <c r="G74" s="31"/>
    </row>
    <row r="75" spans="2:8">
      <c r="B75" s="104"/>
      <c r="C75" s="30" t="s">
        <v>139</v>
      </c>
      <c r="D75" s="31"/>
      <c r="E75" s="31"/>
      <c r="F75" s="31"/>
      <c r="G75" s="31"/>
    </row>
    <row r="76" spans="2:8">
      <c r="B76" s="104"/>
      <c r="C76" s="30" t="s">
        <v>98</v>
      </c>
      <c r="D76" s="31"/>
      <c r="E76" s="31"/>
      <c r="F76" s="31"/>
      <c r="G76" s="31"/>
    </row>
    <row r="77" spans="2:8">
      <c r="B77" s="104" t="s">
        <v>14</v>
      </c>
      <c r="C77" s="30" t="s">
        <v>137</v>
      </c>
      <c r="D77" s="31"/>
      <c r="E77" s="31"/>
      <c r="F77" s="31"/>
      <c r="G77" s="31"/>
    </row>
    <row r="78" spans="2:8">
      <c r="B78" s="104"/>
      <c r="C78" s="30" t="s">
        <v>138</v>
      </c>
      <c r="D78" s="31"/>
      <c r="E78" s="31"/>
      <c r="F78" s="31"/>
      <c r="G78" s="31"/>
    </row>
    <row r="79" spans="2:8">
      <c r="B79" s="104"/>
      <c r="C79" s="30" t="s">
        <v>139</v>
      </c>
      <c r="D79" s="31"/>
      <c r="E79" s="31"/>
      <c r="F79" s="31"/>
      <c r="G79" s="31"/>
    </row>
    <row r="80" spans="2:8">
      <c r="B80" s="104"/>
      <c r="C80" s="30" t="s">
        <v>98</v>
      </c>
      <c r="D80" s="31"/>
      <c r="E80" s="31"/>
      <c r="F80" s="31"/>
      <c r="G80" s="31"/>
    </row>
    <row r="81" spans="1:11">
      <c r="B81" s="104" t="s">
        <v>17</v>
      </c>
      <c r="C81" s="30" t="s">
        <v>137</v>
      </c>
      <c r="D81" s="31"/>
      <c r="E81" s="31"/>
      <c r="F81" s="31"/>
      <c r="G81" s="31"/>
    </row>
    <row r="82" spans="1:11">
      <c r="B82" s="104"/>
      <c r="C82" s="30" t="s">
        <v>138</v>
      </c>
      <c r="D82" s="31"/>
      <c r="E82" s="31"/>
      <c r="F82" s="31"/>
      <c r="G82" s="31"/>
    </row>
    <row r="83" spans="1:11">
      <c r="B83" s="104"/>
      <c r="C83" s="30" t="s">
        <v>139</v>
      </c>
      <c r="D83" s="31"/>
      <c r="E83" s="31"/>
      <c r="F83" s="31"/>
      <c r="G83" s="31"/>
    </row>
    <row r="84" spans="1:11">
      <c r="B84" s="104"/>
      <c r="C84" s="30" t="s">
        <v>98</v>
      </c>
      <c r="D84" s="31"/>
      <c r="E84" s="31"/>
      <c r="F84" s="31"/>
      <c r="G84" s="31"/>
    </row>
    <row r="85" spans="1:11">
      <c r="C85" s="28" t="s">
        <v>140</v>
      </c>
    </row>
    <row r="86" spans="1:11">
      <c r="C86" s="28" t="s">
        <v>141</v>
      </c>
    </row>
    <row r="87" spans="1:11">
      <c r="C87" s="28" t="s">
        <v>142</v>
      </c>
    </row>
    <row r="89" spans="1:11" ht="27" customHeight="1"/>
    <row r="90" spans="1:11" s="27" customFormat="1" ht="22" customHeight="1">
      <c r="A90" s="27" t="s">
        <v>143</v>
      </c>
    </row>
    <row r="92" spans="1:11" s="27" customFormat="1" ht="24" customHeight="1">
      <c r="A92" s="27" t="s">
        <v>144</v>
      </c>
    </row>
    <row r="94" spans="1:11">
      <c r="B94" s="104" t="s">
        <v>145</v>
      </c>
      <c r="C94" s="104" t="s">
        <v>146</v>
      </c>
      <c r="D94" s="104" t="s">
        <v>147</v>
      </c>
      <c r="E94" s="104"/>
      <c r="F94" s="104"/>
      <c r="G94" s="104"/>
      <c r="H94" s="104" t="s">
        <v>148</v>
      </c>
      <c r="I94" s="104"/>
      <c r="J94" s="104"/>
      <c r="K94" s="104"/>
    </row>
    <row r="95" spans="1:11">
      <c r="B95" s="104"/>
      <c r="C95" s="104"/>
      <c r="D95" s="30" t="s">
        <v>31</v>
      </c>
      <c r="E95" s="30" t="s">
        <v>35</v>
      </c>
      <c r="F95" s="30" t="s">
        <v>38</v>
      </c>
      <c r="G95" s="30" t="s">
        <v>40</v>
      </c>
      <c r="H95" s="30" t="s">
        <v>31</v>
      </c>
      <c r="I95" s="30" t="s">
        <v>35</v>
      </c>
      <c r="J95" s="30" t="s">
        <v>38</v>
      </c>
      <c r="K95" s="30" t="s">
        <v>40</v>
      </c>
    </row>
    <row r="96" spans="1:11">
      <c r="B96" s="31" t="s">
        <v>149</v>
      </c>
      <c r="C96" s="31"/>
      <c r="D96" s="31"/>
      <c r="E96" s="31"/>
      <c r="F96" s="31"/>
      <c r="G96" s="31"/>
      <c r="H96" s="31"/>
      <c r="I96" s="31"/>
      <c r="J96" s="31"/>
      <c r="K96" s="31"/>
    </row>
    <row r="97" spans="1:11">
      <c r="B97" s="31" t="s">
        <v>150</v>
      </c>
      <c r="C97" s="31"/>
      <c r="D97" s="31"/>
      <c r="E97" s="31"/>
      <c r="F97" s="31"/>
      <c r="G97" s="31"/>
      <c r="H97" s="31"/>
      <c r="I97" s="31"/>
      <c r="J97" s="31"/>
      <c r="K97" s="31"/>
    </row>
    <row r="98" spans="1:11">
      <c r="B98" s="31" t="s">
        <v>151</v>
      </c>
      <c r="C98" s="31"/>
      <c r="D98" s="31"/>
      <c r="E98" s="31"/>
      <c r="F98" s="31"/>
      <c r="G98" s="31"/>
      <c r="H98" s="31"/>
      <c r="I98" s="31"/>
      <c r="J98" s="31"/>
      <c r="K98" s="31"/>
    </row>
    <row r="99" spans="1:11">
      <c r="B99" s="31" t="s">
        <v>152</v>
      </c>
      <c r="C99" s="31"/>
      <c r="D99" s="31"/>
      <c r="E99" s="31"/>
      <c r="F99" s="31"/>
      <c r="G99" s="31"/>
      <c r="H99" s="31"/>
      <c r="I99" s="31"/>
      <c r="J99" s="31"/>
      <c r="K99" s="31"/>
    </row>
    <row r="100" spans="1:11">
      <c r="B100" s="38" t="s">
        <v>153</v>
      </c>
      <c r="C100" s="38"/>
      <c r="D100" s="38"/>
    </row>
    <row r="101" spans="1:11">
      <c r="B101" s="38" t="s">
        <v>154</v>
      </c>
      <c r="C101" s="38"/>
      <c r="D101" s="38"/>
    </row>
    <row r="102" spans="1:11">
      <c r="B102" s="38" t="s">
        <v>155</v>
      </c>
      <c r="C102" s="38"/>
      <c r="D102" s="38"/>
    </row>
    <row r="103" spans="1:11">
      <c r="B103" s="38" t="s">
        <v>156</v>
      </c>
      <c r="C103" s="38"/>
      <c r="D103" s="38"/>
    </row>
    <row r="104" spans="1:11">
      <c r="B104" s="38" t="s">
        <v>157</v>
      </c>
      <c r="C104" s="38"/>
      <c r="D104" s="38"/>
    </row>
    <row r="107" spans="1:11">
      <c r="A107" s="27" t="s">
        <v>158</v>
      </c>
    </row>
    <row r="108" spans="1:11">
      <c r="C108" s="28" t="s">
        <v>159</v>
      </c>
    </row>
    <row r="109" spans="1:11">
      <c r="B109" s="31"/>
      <c r="C109" s="30" t="s">
        <v>14</v>
      </c>
      <c r="D109" s="30" t="s">
        <v>16</v>
      </c>
      <c r="E109" s="30" t="s">
        <v>15</v>
      </c>
      <c r="F109" s="30" t="s">
        <v>17</v>
      </c>
    </row>
    <row r="110" spans="1:11">
      <c r="B110" s="31" t="s">
        <v>243</v>
      </c>
      <c r="C110" s="31">
        <v>0.26700000000000002</v>
      </c>
      <c r="D110" s="31">
        <v>0.16400000000000001</v>
      </c>
      <c r="E110" s="31">
        <v>1.6199999999999999E-2</v>
      </c>
      <c r="F110" s="31">
        <v>0.13200000000000001</v>
      </c>
    </row>
    <row r="111" spans="1:11">
      <c r="B111" s="31" t="s">
        <v>160</v>
      </c>
      <c r="C111" s="86">
        <v>0.73199999999999998</v>
      </c>
      <c r="D111" s="86">
        <v>0.83599999999999997</v>
      </c>
      <c r="E111" s="86">
        <v>0.99380000000000002</v>
      </c>
      <c r="F111" s="86">
        <v>0.86799999999999999</v>
      </c>
    </row>
    <row r="112" spans="1:11">
      <c r="B112" s="28" t="s">
        <v>161</v>
      </c>
    </row>
    <row r="114" spans="1:6">
      <c r="C114" s="28" t="s">
        <v>162</v>
      </c>
    </row>
    <row r="115" spans="1:6">
      <c r="C115" s="105" t="s">
        <v>163</v>
      </c>
      <c r="D115" s="105"/>
      <c r="E115" s="105"/>
      <c r="F115" s="105"/>
    </row>
    <row r="116" spans="1:6">
      <c r="A116" s="105" t="s">
        <v>164</v>
      </c>
      <c r="B116" s="39" t="s">
        <v>31</v>
      </c>
      <c r="C116" s="30" t="s">
        <v>14</v>
      </c>
      <c r="D116" s="30" t="s">
        <v>16</v>
      </c>
      <c r="E116" s="30" t="s">
        <v>15</v>
      </c>
      <c r="F116" s="30" t="s">
        <v>17</v>
      </c>
    </row>
    <row r="117" spans="1:6">
      <c r="A117" s="105"/>
      <c r="B117" s="31" t="s">
        <v>14</v>
      </c>
      <c r="C117" s="30" t="s">
        <v>244</v>
      </c>
      <c r="D117" s="32">
        <v>0.8276</v>
      </c>
      <c r="E117" s="88">
        <v>0.81899999999999995</v>
      </c>
      <c r="F117" s="31"/>
    </row>
    <row r="118" spans="1:6">
      <c r="A118" s="105"/>
      <c r="B118" s="31" t="s">
        <v>16</v>
      </c>
      <c r="C118" s="40">
        <f>1-D117</f>
        <v>0.1724</v>
      </c>
      <c r="D118" s="30" t="s">
        <v>244</v>
      </c>
      <c r="E118" s="88">
        <v>0.1</v>
      </c>
      <c r="F118" s="31"/>
    </row>
    <row r="119" spans="1:6">
      <c r="A119" s="105"/>
      <c r="B119" s="31" t="s">
        <v>15</v>
      </c>
      <c r="C119" s="32">
        <v>0.18</v>
      </c>
      <c r="D119" s="32">
        <v>0.9</v>
      </c>
      <c r="E119" s="31" t="s">
        <v>244</v>
      </c>
      <c r="F119" s="31"/>
    </row>
    <row r="120" spans="1:6">
      <c r="A120" s="105"/>
      <c r="B120" s="31" t="s">
        <v>17</v>
      </c>
      <c r="C120" s="31"/>
      <c r="D120" s="31"/>
      <c r="E120" s="31"/>
      <c r="F120" s="31"/>
    </row>
    <row r="122" spans="1:6">
      <c r="C122" s="105" t="s">
        <v>163</v>
      </c>
      <c r="D122" s="105"/>
      <c r="E122" s="105"/>
      <c r="F122" s="105"/>
    </row>
    <row r="123" spans="1:6">
      <c r="A123" s="105" t="s">
        <v>164</v>
      </c>
      <c r="B123" s="39" t="s">
        <v>35</v>
      </c>
      <c r="C123" s="30" t="s">
        <v>14</v>
      </c>
      <c r="D123" s="30" t="s">
        <v>16</v>
      </c>
      <c r="E123" s="30" t="s">
        <v>15</v>
      </c>
      <c r="F123" s="30" t="s">
        <v>17</v>
      </c>
    </row>
    <row r="124" spans="1:6">
      <c r="A124" s="105"/>
      <c r="B124" s="31" t="s">
        <v>14</v>
      </c>
      <c r="C124" s="31" t="s">
        <v>244</v>
      </c>
      <c r="D124" s="88">
        <v>0.22</v>
      </c>
      <c r="E124" s="88">
        <v>0.64</v>
      </c>
      <c r="F124" s="31"/>
    </row>
    <row r="125" spans="1:6">
      <c r="A125" s="105"/>
      <c r="B125" s="31" t="s">
        <v>16</v>
      </c>
      <c r="C125" s="88">
        <v>0.78</v>
      </c>
      <c r="D125" s="31" t="s">
        <v>244</v>
      </c>
      <c r="E125" s="88">
        <v>0.94</v>
      </c>
      <c r="F125" s="31"/>
    </row>
    <row r="126" spans="1:6">
      <c r="A126" s="105"/>
      <c r="B126" s="31" t="s">
        <v>15</v>
      </c>
      <c r="C126" s="88">
        <v>0.36</v>
      </c>
      <c r="D126" s="88">
        <v>0.06</v>
      </c>
      <c r="E126" s="31" t="s">
        <v>244</v>
      </c>
      <c r="F126" s="31"/>
    </row>
    <row r="127" spans="1:6">
      <c r="A127" s="105"/>
      <c r="B127" s="31" t="s">
        <v>17</v>
      </c>
      <c r="C127" s="31"/>
      <c r="D127" s="31"/>
      <c r="E127" s="31"/>
      <c r="F127" s="31"/>
    </row>
    <row r="129" spans="1:6">
      <c r="C129" s="105" t="s">
        <v>163</v>
      </c>
      <c r="D129" s="105"/>
      <c r="E129" s="105"/>
      <c r="F129" s="105"/>
    </row>
    <row r="130" spans="1:6">
      <c r="A130" s="105" t="s">
        <v>164</v>
      </c>
      <c r="B130" s="39" t="s">
        <v>38</v>
      </c>
      <c r="C130" s="30" t="s">
        <v>14</v>
      </c>
      <c r="D130" s="30" t="s">
        <v>16</v>
      </c>
      <c r="E130" s="30" t="s">
        <v>15</v>
      </c>
      <c r="F130" s="30" t="s">
        <v>17</v>
      </c>
    </row>
    <row r="131" spans="1:6">
      <c r="A131" s="105"/>
      <c r="B131" s="31" t="s">
        <v>14</v>
      </c>
      <c r="C131" s="31" t="s">
        <v>244</v>
      </c>
      <c r="D131" s="86">
        <v>0.115</v>
      </c>
      <c r="E131" s="86">
        <v>0.13200000000000001</v>
      </c>
      <c r="F131" s="31"/>
    </row>
    <row r="132" spans="1:6">
      <c r="A132" s="105"/>
      <c r="B132" s="31" t="s">
        <v>16</v>
      </c>
      <c r="C132" s="86">
        <v>0.88500000000000001</v>
      </c>
      <c r="D132" s="31" t="s">
        <v>244</v>
      </c>
      <c r="E132" s="86">
        <v>0.59489999999999998</v>
      </c>
      <c r="F132" s="31"/>
    </row>
    <row r="133" spans="1:6">
      <c r="A133" s="105"/>
      <c r="B133" s="31" t="s">
        <v>15</v>
      </c>
      <c r="C133" s="89">
        <v>0.86799999999999999</v>
      </c>
      <c r="D133" s="86">
        <v>0.40510000000000002</v>
      </c>
      <c r="E133" s="31" t="s">
        <v>244</v>
      </c>
      <c r="F133" s="31"/>
    </row>
    <row r="134" spans="1:6">
      <c r="A134" s="105"/>
      <c r="B134" s="31" t="s">
        <v>17</v>
      </c>
      <c r="C134" s="86"/>
      <c r="D134" s="31"/>
      <c r="E134" s="31"/>
      <c r="F134" s="31"/>
    </row>
    <row r="136" spans="1:6">
      <c r="C136" s="105" t="s">
        <v>163</v>
      </c>
      <c r="D136" s="105"/>
      <c r="E136" s="105"/>
      <c r="F136" s="105"/>
    </row>
    <row r="137" spans="1:6">
      <c r="A137" s="105" t="s">
        <v>164</v>
      </c>
      <c r="B137" s="39" t="s">
        <v>40</v>
      </c>
      <c r="C137" s="30" t="s">
        <v>14</v>
      </c>
      <c r="D137" s="30" t="s">
        <v>16</v>
      </c>
      <c r="E137" s="30" t="s">
        <v>15</v>
      </c>
      <c r="F137" s="30" t="s">
        <v>17</v>
      </c>
    </row>
    <row r="138" spans="1:6">
      <c r="A138" s="105"/>
      <c r="B138" s="31" t="s">
        <v>14</v>
      </c>
      <c r="C138" s="31" t="s">
        <v>244</v>
      </c>
      <c r="D138" s="86">
        <v>0.52400000000000002</v>
      </c>
      <c r="E138" s="86">
        <v>0.24579999999999999</v>
      </c>
      <c r="F138" s="31"/>
    </row>
    <row r="139" spans="1:6">
      <c r="A139" s="105"/>
      <c r="B139" s="31" t="s">
        <v>16</v>
      </c>
      <c r="C139" s="86">
        <v>0.47599999999999998</v>
      </c>
      <c r="D139" s="31" t="s">
        <v>244</v>
      </c>
      <c r="E139" s="86">
        <v>0.2026</v>
      </c>
      <c r="F139" s="31"/>
    </row>
    <row r="140" spans="1:6">
      <c r="A140" s="105"/>
      <c r="B140" s="31" t="s">
        <v>15</v>
      </c>
      <c r="C140" s="86">
        <v>0.75419999999999998</v>
      </c>
      <c r="D140" s="86">
        <v>0.7974</v>
      </c>
      <c r="E140" s="31" t="s">
        <v>244</v>
      </c>
      <c r="F140" s="31"/>
    </row>
    <row r="141" spans="1:6">
      <c r="A141" s="105"/>
      <c r="B141" s="31" t="s">
        <v>17</v>
      </c>
      <c r="C141" s="31"/>
      <c r="D141" s="31"/>
      <c r="E141" s="31"/>
      <c r="F141" s="31"/>
    </row>
    <row r="161" spans="2:2">
      <c r="B161" s="28" t="s">
        <v>165</v>
      </c>
    </row>
  </sheetData>
  <mergeCells count="19">
    <mergeCell ref="A137:A141"/>
    <mergeCell ref="B65:B68"/>
    <mergeCell ref="B69:B72"/>
    <mergeCell ref="B73:B76"/>
    <mergeCell ref="B77:B80"/>
    <mergeCell ref="B81:B84"/>
    <mergeCell ref="B94:B95"/>
    <mergeCell ref="C129:F129"/>
    <mergeCell ref="C136:F136"/>
    <mergeCell ref="A116:A120"/>
    <mergeCell ref="A123:A127"/>
    <mergeCell ref="A130:A134"/>
    <mergeCell ref="C19:F19"/>
    <mergeCell ref="D94:G94"/>
    <mergeCell ref="H94:K94"/>
    <mergeCell ref="C115:F115"/>
    <mergeCell ref="C122:F122"/>
    <mergeCell ref="C94:C95"/>
    <mergeCell ref="H15:H1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7"/>
  <sheetViews>
    <sheetView topLeftCell="A7" zoomScale="136" workbookViewId="0">
      <selection activeCell="H51" sqref="H51"/>
    </sheetView>
  </sheetViews>
  <sheetFormatPr baseColWidth="10" defaultColWidth="9" defaultRowHeight="15"/>
  <cols>
    <col min="1" max="1" width="25.6640625" customWidth="1"/>
    <col min="4" max="5" width="10.1640625"/>
    <col min="6" max="6" width="9.1640625"/>
  </cols>
  <sheetData>
    <row r="1" spans="1:6">
      <c r="A1" s="10" t="s">
        <v>166</v>
      </c>
    </row>
    <row r="2" spans="1:6" ht="45">
      <c r="A2" s="11" t="s">
        <v>167</v>
      </c>
      <c r="B2" s="11" t="s">
        <v>168</v>
      </c>
      <c r="C2" s="11" t="s">
        <v>169</v>
      </c>
      <c r="D2" s="11" t="s">
        <v>170</v>
      </c>
      <c r="E2" s="11" t="s">
        <v>171</v>
      </c>
      <c r="F2" s="11" t="s">
        <v>172</v>
      </c>
    </row>
    <row r="3" spans="1:6">
      <c r="A3" s="12" t="s">
        <v>173</v>
      </c>
      <c r="B3" s="13" t="s">
        <v>174</v>
      </c>
      <c r="C3" s="14">
        <v>7</v>
      </c>
      <c r="D3" s="12">
        <v>3.8484999999999998E-2</v>
      </c>
      <c r="E3" s="12">
        <v>7.3494000000000004E-2</v>
      </c>
      <c r="F3" s="12">
        <v>0.24435999999999999</v>
      </c>
    </row>
    <row r="4" spans="1:6">
      <c r="A4" s="12" t="s">
        <v>175</v>
      </c>
      <c r="B4" s="13" t="s">
        <v>176</v>
      </c>
      <c r="C4" s="14">
        <v>2</v>
      </c>
      <c r="D4" s="12">
        <v>2.7976999999999998E-2</v>
      </c>
      <c r="E4" s="12">
        <v>-0.17771000000000001</v>
      </c>
      <c r="F4" s="12">
        <v>0.33349000000000001</v>
      </c>
    </row>
    <row r="5" spans="1:6">
      <c r="A5" s="12" t="s">
        <v>177</v>
      </c>
      <c r="B5" s="13" t="s">
        <v>178</v>
      </c>
      <c r="C5" s="14">
        <v>15</v>
      </c>
      <c r="D5" s="12">
        <v>-7.6907E-3</v>
      </c>
      <c r="E5" s="12">
        <v>-7.8575999999999993E-2</v>
      </c>
      <c r="F5" s="12">
        <v>0.26022000000000001</v>
      </c>
    </row>
    <row r="6" spans="1:6">
      <c r="A6" s="12" t="s">
        <v>179</v>
      </c>
      <c r="B6" s="13" t="s">
        <v>180</v>
      </c>
      <c r="C6" s="14">
        <v>13</v>
      </c>
      <c r="D6" s="12">
        <v>9.6480999999999997E-2</v>
      </c>
      <c r="E6" s="12">
        <v>-0.12103999999999999</v>
      </c>
      <c r="F6" s="12">
        <v>0.12515999999999999</v>
      </c>
    </row>
    <row r="7" spans="1:6">
      <c r="A7" s="12" t="s">
        <v>181</v>
      </c>
      <c r="B7" s="13" t="s">
        <v>174</v>
      </c>
      <c r="C7" s="14">
        <v>4</v>
      </c>
      <c r="D7" s="12">
        <v>3.0823E-2</v>
      </c>
      <c r="E7" s="12">
        <v>0.80857999999999997</v>
      </c>
      <c r="F7" s="12">
        <v>0.16328000000000001</v>
      </c>
    </row>
    <row r="8" spans="1:6">
      <c r="A8" s="12" t="s">
        <v>182</v>
      </c>
      <c r="B8" s="13" t="s">
        <v>176</v>
      </c>
      <c r="C8" s="14">
        <v>22</v>
      </c>
      <c r="D8" s="12">
        <v>1.5387E-2</v>
      </c>
      <c r="E8" s="12">
        <v>1.6294999999999999</v>
      </c>
      <c r="F8" s="12">
        <v>9.801E-2</v>
      </c>
    </row>
    <row r="9" spans="1:6">
      <c r="A9" s="12" t="s">
        <v>183</v>
      </c>
      <c r="B9" s="13" t="s">
        <v>178</v>
      </c>
      <c r="C9" s="14">
        <v>7</v>
      </c>
      <c r="D9" s="12">
        <v>6.8066000000000002E-2</v>
      </c>
      <c r="E9" s="12">
        <v>-0.89148000000000005</v>
      </c>
      <c r="F9" s="12">
        <v>-0.20014000000000001</v>
      </c>
    </row>
    <row r="10" spans="1:6">
      <c r="A10" s="12" t="s">
        <v>184</v>
      </c>
      <c r="B10" s="13" t="s">
        <v>180</v>
      </c>
      <c r="C10" s="14">
        <v>3</v>
      </c>
      <c r="D10" s="12">
        <v>0.22614000000000001</v>
      </c>
      <c r="E10" s="12">
        <v>-0.75936000000000003</v>
      </c>
      <c r="F10" s="12">
        <v>-1.4815</v>
      </c>
    </row>
    <row r="11" spans="1:6">
      <c r="A11" s="12" t="s">
        <v>185</v>
      </c>
      <c r="B11" s="13" t="s">
        <v>174</v>
      </c>
      <c r="C11" s="14">
        <v>7</v>
      </c>
      <c r="D11" s="12">
        <v>-1.9569E-2</v>
      </c>
      <c r="E11" s="12">
        <v>1.8078000000000001</v>
      </c>
      <c r="F11" s="12">
        <v>0.20843999999999999</v>
      </c>
    </row>
    <row r="12" spans="1:6">
      <c r="A12" s="12" t="s">
        <v>186</v>
      </c>
      <c r="B12" s="13" t="s">
        <v>176</v>
      </c>
      <c r="C12" s="14">
        <v>5</v>
      </c>
      <c r="D12" s="12">
        <v>1.9935000000000001E-2</v>
      </c>
      <c r="E12" s="12">
        <v>-0.10213999999999999</v>
      </c>
      <c r="F12" s="12">
        <v>0.24171999999999999</v>
      </c>
    </row>
    <row r="13" spans="1:6">
      <c r="A13" s="12" t="s">
        <v>187</v>
      </c>
      <c r="B13" s="13" t="s">
        <v>178</v>
      </c>
      <c r="C13" s="14">
        <v>6</v>
      </c>
      <c r="D13" s="12">
        <v>5.6766999999999998E-2</v>
      </c>
      <c r="E13" s="12">
        <v>-0.56638999999999995</v>
      </c>
      <c r="F13" s="12">
        <v>-0.17544999999999999</v>
      </c>
    </row>
    <row r="14" spans="1:6">
      <c r="A14" s="12" t="s">
        <v>188</v>
      </c>
      <c r="B14" s="13" t="s">
        <v>176</v>
      </c>
      <c r="C14" s="14">
        <v>6</v>
      </c>
      <c r="D14" s="12">
        <v>-1.532E-2</v>
      </c>
      <c r="E14" s="12">
        <v>0.44102999999999998</v>
      </c>
      <c r="F14" s="12">
        <v>0.57465999999999995</v>
      </c>
    </row>
    <row r="15" spans="1:6">
      <c r="A15" s="12" t="s">
        <v>189</v>
      </c>
      <c r="B15" s="13" t="s">
        <v>178</v>
      </c>
      <c r="C15" s="14">
        <v>11</v>
      </c>
      <c r="D15" s="12">
        <v>4.5263999999999999E-2</v>
      </c>
      <c r="E15" s="12">
        <v>-0.21159</v>
      </c>
      <c r="F15" s="12">
        <v>-6.2216E-2</v>
      </c>
    </row>
    <row r="16" spans="1:6">
      <c r="A16" s="12" t="s">
        <v>190</v>
      </c>
      <c r="B16" s="13" t="s">
        <v>174</v>
      </c>
      <c r="C16" s="14">
        <v>19</v>
      </c>
      <c r="D16" s="12">
        <v>4.5636999999999997E-2</v>
      </c>
      <c r="E16" s="12">
        <v>-8.0373E-2</v>
      </c>
      <c r="F16" s="12">
        <v>-7.6879000000000003E-2</v>
      </c>
    </row>
    <row r="17" spans="1:6">
      <c r="A17" s="12" t="s">
        <v>191</v>
      </c>
      <c r="B17" s="13" t="s">
        <v>178</v>
      </c>
      <c r="C17" s="14">
        <v>9</v>
      </c>
      <c r="D17" s="12">
        <v>-4.7188000000000004E-3</v>
      </c>
      <c r="E17" s="12">
        <v>-3.2919999999999998E-2</v>
      </c>
      <c r="F17" s="12">
        <v>0.14052999999999999</v>
      </c>
    </row>
    <row r="18" spans="1:6">
      <c r="A18" s="12" t="s">
        <v>192</v>
      </c>
      <c r="B18" s="13" t="s">
        <v>174</v>
      </c>
      <c r="C18" s="14">
        <v>3</v>
      </c>
      <c r="D18" s="12">
        <v>0.13125000000000001</v>
      </c>
      <c r="E18" s="12">
        <v>3.5061000000000002E-2</v>
      </c>
      <c r="F18" s="12">
        <v>4.6607999999999997E-2</v>
      </c>
    </row>
    <row r="19" spans="1:6">
      <c r="A19" s="12" t="s">
        <v>193</v>
      </c>
      <c r="B19" s="13" t="s">
        <v>180</v>
      </c>
      <c r="C19" s="14">
        <v>10</v>
      </c>
      <c r="D19" s="12">
        <v>7.9600000000000004E-2</v>
      </c>
      <c r="E19" s="12">
        <v>1.4326000000000001</v>
      </c>
      <c r="F19" s="12">
        <v>-0.30652000000000001</v>
      </c>
    </row>
    <row r="20" spans="1:6">
      <c r="A20" s="12" t="s">
        <v>194</v>
      </c>
      <c r="B20" s="13" t="s">
        <v>174</v>
      </c>
      <c r="C20" s="14">
        <v>9</v>
      </c>
      <c r="D20" s="12">
        <v>7.9628000000000004E-2</v>
      </c>
      <c r="E20" s="12">
        <v>-0.50634000000000001</v>
      </c>
      <c r="F20" s="12">
        <v>-0.36449999999999999</v>
      </c>
    </row>
    <row r="21" spans="1:6">
      <c r="A21" s="12" t="s">
        <v>195</v>
      </c>
      <c r="B21" s="13" t="s">
        <v>180</v>
      </c>
      <c r="C21" s="14">
        <v>6</v>
      </c>
      <c r="D21" s="12">
        <v>4.4445999999999999E-2</v>
      </c>
      <c r="E21" s="12">
        <v>0.17504</v>
      </c>
      <c r="F21" s="12">
        <v>0.17104</v>
      </c>
    </row>
    <row r="22" spans="1:6">
      <c r="A22" s="12" t="s">
        <v>196</v>
      </c>
      <c r="B22" s="13" t="s">
        <v>174</v>
      </c>
      <c r="C22" s="14">
        <v>6</v>
      </c>
      <c r="D22" s="12">
        <v>-1.8360000000000001E-2</v>
      </c>
      <c r="E22" s="12">
        <v>0.11488</v>
      </c>
      <c r="F22" s="12">
        <v>0.14635000000000001</v>
      </c>
    </row>
    <row r="23" spans="1:6">
      <c r="A23" s="12" t="s">
        <v>197</v>
      </c>
      <c r="B23" s="13" t="s">
        <v>178</v>
      </c>
      <c r="C23" s="14">
        <v>15</v>
      </c>
      <c r="D23" s="12">
        <v>2.9458999999999999E-2</v>
      </c>
      <c r="E23" s="12">
        <v>8.7111999999999995E-2</v>
      </c>
      <c r="F23" s="12">
        <v>2.9363E-2</v>
      </c>
    </row>
    <row r="24" spans="1:6">
      <c r="A24" s="12" t="s">
        <v>198</v>
      </c>
      <c r="B24" s="13" t="s">
        <v>180</v>
      </c>
      <c r="C24" s="14">
        <v>8</v>
      </c>
      <c r="D24" s="12">
        <v>7.4305999999999997E-2</v>
      </c>
      <c r="E24" s="12">
        <v>-0.29793999999999998</v>
      </c>
      <c r="F24" s="12">
        <v>-0.22658</v>
      </c>
    </row>
    <row r="25" spans="1:6">
      <c r="A25" s="12" t="s">
        <v>199</v>
      </c>
      <c r="B25" s="13" t="s">
        <v>174</v>
      </c>
      <c r="C25" s="14">
        <v>6</v>
      </c>
      <c r="D25" s="12">
        <v>3.7319999999999999E-2</v>
      </c>
      <c r="E25" s="12">
        <v>0.54137000000000002</v>
      </c>
      <c r="F25" s="12">
        <v>0.1178</v>
      </c>
    </row>
    <row r="26" spans="1:6">
      <c r="A26" s="12" t="s">
        <v>200</v>
      </c>
      <c r="B26" s="13" t="s">
        <v>180</v>
      </c>
      <c r="C26" s="14">
        <v>8</v>
      </c>
      <c r="D26" s="12">
        <v>6.9263000000000005E-2</v>
      </c>
      <c r="E26" s="12">
        <v>4.4880000000000003E-2</v>
      </c>
      <c r="F26" s="12">
        <v>-0.17888000000000001</v>
      </c>
    </row>
    <row r="27" spans="1:6">
      <c r="A27" s="12" t="s">
        <v>201</v>
      </c>
      <c r="B27" s="13" t="s">
        <v>174</v>
      </c>
      <c r="C27" s="14">
        <v>5</v>
      </c>
      <c r="D27" s="12">
        <v>3.1015000000000001E-3</v>
      </c>
      <c r="E27" s="12">
        <v>0.45989000000000002</v>
      </c>
      <c r="F27" s="12">
        <v>-0.23721999999999999</v>
      </c>
    </row>
    <row r="28" spans="1:6">
      <c r="A28" s="12" t="s">
        <v>202</v>
      </c>
      <c r="B28" s="13" t="s">
        <v>176</v>
      </c>
      <c r="C28" s="14">
        <v>3</v>
      </c>
      <c r="D28" s="12">
        <v>2.6475000000000001E-3</v>
      </c>
      <c r="E28" s="12">
        <v>2.4501999999999998E-4</v>
      </c>
      <c r="F28" s="12">
        <v>2.8951000000000001E-2</v>
      </c>
    </row>
    <row r="29" spans="1:6">
      <c r="A29" s="12" t="s">
        <v>203</v>
      </c>
      <c r="B29" s="13" t="s">
        <v>178</v>
      </c>
      <c r="C29" s="14">
        <v>8</v>
      </c>
      <c r="D29" s="12">
        <v>4.6105E-2</v>
      </c>
      <c r="E29" s="12">
        <v>0.16889999999999999</v>
      </c>
      <c r="F29" s="12">
        <v>0.71160000000000001</v>
      </c>
    </row>
    <row r="30" spans="1:6">
      <c r="A30" s="12" t="s">
        <v>204</v>
      </c>
      <c r="B30" s="13" t="s">
        <v>180</v>
      </c>
      <c r="C30" s="14">
        <v>3</v>
      </c>
      <c r="D30" s="12">
        <v>6.6087999999999994E-2</v>
      </c>
      <c r="E30" s="12">
        <v>-0.27385999999999999</v>
      </c>
      <c r="F30" s="12">
        <v>0.29110999999999998</v>
      </c>
    </row>
    <row r="33" spans="1:28">
      <c r="A33" s="10" t="s">
        <v>205</v>
      </c>
    </row>
    <row r="34" spans="1:28">
      <c r="A34" s="108" t="s">
        <v>206</v>
      </c>
      <c r="B34" s="108" t="s">
        <v>207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</row>
    <row r="35" spans="1:28">
      <c r="A35" s="108"/>
      <c r="B35" s="109" t="s">
        <v>208</v>
      </c>
      <c r="C35" s="109"/>
      <c r="D35" s="109"/>
      <c r="E35" s="109"/>
      <c r="F35" s="109"/>
      <c r="G35" s="109"/>
      <c r="H35" s="109"/>
      <c r="I35" s="109"/>
      <c r="J35" s="109"/>
      <c r="K35" s="109" t="s">
        <v>209</v>
      </c>
      <c r="L35" s="109"/>
      <c r="M35" s="109"/>
      <c r="N35" s="109"/>
      <c r="O35" s="109"/>
      <c r="P35" s="109"/>
      <c r="Q35" s="109"/>
      <c r="R35" s="109"/>
      <c r="S35" s="109"/>
      <c r="T35" s="109" t="s">
        <v>210</v>
      </c>
      <c r="U35" s="109"/>
      <c r="V35" s="109"/>
      <c r="W35" s="109"/>
      <c r="X35" s="109"/>
      <c r="Y35" s="109"/>
      <c r="Z35" s="109"/>
      <c r="AA35" s="109"/>
      <c r="AB35" s="109"/>
    </row>
    <row r="36" spans="1:28" ht="16">
      <c r="A36" s="16" t="s">
        <v>211</v>
      </c>
      <c r="B36" s="17">
        <v>3.8484999999999998E-2</v>
      </c>
      <c r="C36" s="17">
        <v>3.0823E-2</v>
      </c>
      <c r="D36" s="17">
        <v>-1.9569E-2</v>
      </c>
      <c r="E36" s="17">
        <v>4.5636999999999997E-2</v>
      </c>
      <c r="F36" s="17">
        <v>0.13125000000000001</v>
      </c>
      <c r="G36" s="17">
        <v>7.9628000000000004E-2</v>
      </c>
      <c r="H36" s="17">
        <v>-1.8360000000000001E-2</v>
      </c>
      <c r="I36" s="17">
        <v>3.7319999999999999E-2</v>
      </c>
      <c r="J36" s="17">
        <v>3.1015000000000001E-3</v>
      </c>
      <c r="K36" s="22">
        <v>7.3494000000000004E-2</v>
      </c>
      <c r="L36" s="22">
        <v>0.80857999999999997</v>
      </c>
      <c r="M36" s="22">
        <v>1.8078000000000001</v>
      </c>
      <c r="N36" s="22">
        <v>-8.0373E-2</v>
      </c>
      <c r="O36" s="22">
        <v>3.5061000000000002E-2</v>
      </c>
      <c r="P36" s="22">
        <v>-0.50634000000000001</v>
      </c>
      <c r="Q36" s="22">
        <v>0.11488</v>
      </c>
      <c r="R36" s="22">
        <v>0.54137000000000002</v>
      </c>
      <c r="S36" s="22">
        <v>0.45989000000000002</v>
      </c>
      <c r="T36" s="24">
        <v>0.24435999999999999</v>
      </c>
      <c r="U36" s="24">
        <v>0.16328000000000001</v>
      </c>
      <c r="V36" s="24">
        <v>0.20843999999999999</v>
      </c>
      <c r="W36" s="24">
        <v>-7.6879000000000003E-2</v>
      </c>
      <c r="X36" s="24">
        <v>4.6607999999999997E-2</v>
      </c>
      <c r="Y36" s="24">
        <v>-0.36449999999999999</v>
      </c>
      <c r="Z36" s="24">
        <v>0.14635000000000001</v>
      </c>
      <c r="AA36" s="24">
        <v>0.1178</v>
      </c>
      <c r="AB36" s="24">
        <v>-0.23721999999999999</v>
      </c>
    </row>
    <row r="37" spans="1:28" ht="16">
      <c r="A37" s="16" t="s">
        <v>212</v>
      </c>
      <c r="B37" s="17">
        <v>2.7976999999999998E-2</v>
      </c>
      <c r="C37" s="17">
        <v>1.5387E-2</v>
      </c>
      <c r="D37" s="17">
        <v>1.9935000000000001E-2</v>
      </c>
      <c r="E37" s="17">
        <v>-1.532E-2</v>
      </c>
      <c r="F37" s="17">
        <v>2.6475000000000001E-3</v>
      </c>
      <c r="G37" s="18" t="s">
        <v>213</v>
      </c>
      <c r="H37" s="18" t="s">
        <v>213</v>
      </c>
      <c r="I37" s="18" t="s">
        <v>213</v>
      </c>
      <c r="J37" s="18" t="s">
        <v>213</v>
      </c>
      <c r="K37" s="22">
        <v>-0.17771000000000001</v>
      </c>
      <c r="L37" s="22">
        <v>1.6294999999999999</v>
      </c>
      <c r="M37" s="22">
        <v>-0.10213999999999999</v>
      </c>
      <c r="N37" s="22">
        <v>0.44102999999999998</v>
      </c>
      <c r="O37" s="22">
        <v>2.4501999999999998E-4</v>
      </c>
      <c r="P37" s="23" t="s">
        <v>213</v>
      </c>
      <c r="Q37" s="23" t="s">
        <v>213</v>
      </c>
      <c r="R37" s="23" t="s">
        <v>213</v>
      </c>
      <c r="S37" s="23" t="s">
        <v>213</v>
      </c>
      <c r="T37" s="24">
        <v>0.33349000000000001</v>
      </c>
      <c r="U37" s="24">
        <v>9.801E-2</v>
      </c>
      <c r="V37" s="24">
        <v>0.24171999999999999</v>
      </c>
      <c r="W37" s="24">
        <v>0.57465999999999995</v>
      </c>
      <c r="X37" s="24">
        <v>2.8951000000000001E-2</v>
      </c>
      <c r="Y37" s="26" t="s">
        <v>213</v>
      </c>
      <c r="Z37" s="26" t="s">
        <v>213</v>
      </c>
      <c r="AA37" s="26" t="s">
        <v>213</v>
      </c>
      <c r="AB37" s="26" t="s">
        <v>213</v>
      </c>
    </row>
    <row r="38" spans="1:28" ht="16">
      <c r="A38" s="16" t="s">
        <v>214</v>
      </c>
      <c r="B38" s="17">
        <v>-7.6907E-3</v>
      </c>
      <c r="C38" s="17">
        <v>6.8066000000000002E-2</v>
      </c>
      <c r="D38" s="17">
        <v>5.6766999999999998E-2</v>
      </c>
      <c r="E38" s="17">
        <v>4.5263999999999999E-2</v>
      </c>
      <c r="F38" s="17">
        <v>-4.7188000000000004E-3</v>
      </c>
      <c r="G38" s="17">
        <v>2.9458999999999999E-2</v>
      </c>
      <c r="H38" s="17">
        <v>4.6105E-2</v>
      </c>
      <c r="I38" s="18" t="s">
        <v>213</v>
      </c>
      <c r="J38" s="18" t="s">
        <v>213</v>
      </c>
      <c r="K38" s="22">
        <v>-7.8575999999999993E-2</v>
      </c>
      <c r="L38" s="22">
        <v>-0.89148000000000005</v>
      </c>
      <c r="M38" s="22">
        <v>-0.56638999999999995</v>
      </c>
      <c r="N38" s="22">
        <v>-0.21159</v>
      </c>
      <c r="O38" s="22">
        <v>-3.2919999999999998E-2</v>
      </c>
      <c r="P38" s="22">
        <v>8.7111999999999995E-2</v>
      </c>
      <c r="Q38" s="22">
        <v>0.16889999999999999</v>
      </c>
      <c r="R38" s="23" t="s">
        <v>213</v>
      </c>
      <c r="S38" s="23" t="s">
        <v>213</v>
      </c>
      <c r="T38" s="24">
        <v>0.26022000000000001</v>
      </c>
      <c r="U38" s="24">
        <v>-0.20014000000000001</v>
      </c>
      <c r="V38" s="24">
        <v>-0.17544999999999999</v>
      </c>
      <c r="W38" s="24">
        <v>-6.2216E-2</v>
      </c>
      <c r="X38" s="24">
        <v>0.14052999999999999</v>
      </c>
      <c r="Y38" s="24">
        <v>2.9363E-2</v>
      </c>
      <c r="Z38" s="24">
        <v>0.71160000000000001</v>
      </c>
      <c r="AA38" s="26" t="s">
        <v>213</v>
      </c>
      <c r="AB38" s="26" t="s">
        <v>213</v>
      </c>
    </row>
    <row r="39" spans="1:28" ht="16">
      <c r="A39" s="16" t="s">
        <v>215</v>
      </c>
      <c r="B39" s="17">
        <v>9.6480999999999997E-2</v>
      </c>
      <c r="C39" s="17">
        <v>0.22614000000000001</v>
      </c>
      <c r="D39" s="17">
        <v>7.9600000000000004E-2</v>
      </c>
      <c r="E39" s="17">
        <v>4.4445999999999999E-2</v>
      </c>
      <c r="F39" s="17">
        <v>7.4305999999999997E-2</v>
      </c>
      <c r="G39" s="17">
        <v>6.9263000000000005E-2</v>
      </c>
      <c r="H39" s="17">
        <v>6.6087999999999994E-2</v>
      </c>
      <c r="I39" s="18" t="s">
        <v>213</v>
      </c>
      <c r="J39" s="18" t="s">
        <v>213</v>
      </c>
      <c r="K39" s="22">
        <v>-0.12103999999999999</v>
      </c>
      <c r="L39" s="22">
        <v>-0.75936000000000003</v>
      </c>
      <c r="M39" s="22">
        <v>1.4326000000000001</v>
      </c>
      <c r="N39" s="22">
        <v>0.17504</v>
      </c>
      <c r="O39" s="22">
        <v>-0.29793999999999998</v>
      </c>
      <c r="P39" s="22">
        <v>4.4880000000000003E-2</v>
      </c>
      <c r="Q39" s="22">
        <v>-0.27385999999999999</v>
      </c>
      <c r="R39" s="23" t="s">
        <v>213</v>
      </c>
      <c r="S39" s="23" t="s">
        <v>213</v>
      </c>
      <c r="T39" s="25">
        <v>0.12515999999999999</v>
      </c>
      <c r="U39" s="25">
        <v>-1.4815</v>
      </c>
      <c r="V39" s="25">
        <v>-0.30652000000000001</v>
      </c>
      <c r="W39" s="25">
        <v>0.17104</v>
      </c>
      <c r="X39" s="25">
        <v>-0.22658</v>
      </c>
      <c r="Y39" s="25">
        <v>-0.17888000000000001</v>
      </c>
      <c r="Z39" s="25">
        <v>0.29110999999999998</v>
      </c>
      <c r="AA39" s="26" t="s">
        <v>213</v>
      </c>
      <c r="AB39" s="26" t="s">
        <v>213</v>
      </c>
    </row>
    <row r="41" spans="1:28">
      <c r="A41" s="10" t="s">
        <v>216</v>
      </c>
    </row>
    <row r="42" spans="1:28">
      <c r="A42" s="15" t="s">
        <v>217</v>
      </c>
      <c r="B42" s="15" t="s">
        <v>174</v>
      </c>
      <c r="C42" s="15" t="s">
        <v>176</v>
      </c>
      <c r="D42" s="15" t="s">
        <v>178</v>
      </c>
      <c r="E42" s="15" t="s">
        <v>180</v>
      </c>
    </row>
    <row r="43" spans="1:28">
      <c r="A43" s="107" t="s">
        <v>208</v>
      </c>
      <c r="B43" s="19">
        <v>3.8484999999999998E-2</v>
      </c>
      <c r="C43" s="19">
        <v>2.7976999999999998E-2</v>
      </c>
      <c r="D43" s="19">
        <v>-7.6907E-3</v>
      </c>
      <c r="E43" s="19">
        <v>9.6480999999999997E-2</v>
      </c>
    </row>
    <row r="44" spans="1:28">
      <c r="A44" s="107"/>
      <c r="B44" s="19">
        <v>3.0823E-2</v>
      </c>
      <c r="C44" s="19">
        <v>1.5387E-2</v>
      </c>
      <c r="D44" s="19">
        <v>6.8066000000000002E-2</v>
      </c>
      <c r="E44" s="19">
        <v>0.22614000000000001</v>
      </c>
    </row>
    <row r="45" spans="1:28">
      <c r="A45" s="107"/>
      <c r="B45" s="19">
        <v>-1.9569E-2</v>
      </c>
      <c r="C45" s="19">
        <v>1.9935000000000001E-2</v>
      </c>
      <c r="D45" s="19">
        <v>5.6766999999999998E-2</v>
      </c>
      <c r="E45" s="19">
        <v>7.9600000000000004E-2</v>
      </c>
    </row>
    <row r="46" spans="1:28">
      <c r="A46" s="107"/>
      <c r="B46" s="19">
        <v>4.5636999999999997E-2</v>
      </c>
      <c r="C46" s="19">
        <v>-1.532E-2</v>
      </c>
      <c r="D46" s="19">
        <v>4.5263999999999999E-2</v>
      </c>
      <c r="E46" s="19">
        <v>4.4445999999999999E-2</v>
      </c>
    </row>
    <row r="47" spans="1:28">
      <c r="A47" s="107"/>
      <c r="B47" s="19">
        <v>0.13125000000000001</v>
      </c>
      <c r="C47" s="19">
        <v>2.6475000000000001E-3</v>
      </c>
      <c r="D47" s="19">
        <v>-4.7188000000000004E-3</v>
      </c>
      <c r="E47" s="19">
        <v>7.4305999999999997E-2</v>
      </c>
    </row>
    <row r="48" spans="1:28">
      <c r="A48" s="107" t="s">
        <v>218</v>
      </c>
      <c r="B48" s="20">
        <v>7.3494000000000004E-2</v>
      </c>
      <c r="C48" s="20">
        <v>-0.17771000000000001</v>
      </c>
      <c r="D48" s="20">
        <v>-7.8575999999999993E-2</v>
      </c>
      <c r="E48" s="20">
        <v>-0.12103999999999999</v>
      </c>
    </row>
    <row r="49" spans="1:5">
      <c r="A49" s="107"/>
      <c r="B49" s="20">
        <v>0.80857999999999997</v>
      </c>
      <c r="C49" s="21">
        <v>1.6294999999999999</v>
      </c>
      <c r="D49" s="20">
        <v>-0.89148000000000005</v>
      </c>
      <c r="E49" s="20">
        <v>-0.75936000000000003</v>
      </c>
    </row>
    <row r="50" spans="1:5">
      <c r="A50" s="107"/>
      <c r="B50" s="20">
        <v>1.8078000000000001</v>
      </c>
      <c r="C50" s="20">
        <v>-0.10213999999999999</v>
      </c>
      <c r="D50" s="20">
        <v>-0.56638999999999995</v>
      </c>
      <c r="E50" s="21">
        <v>1.4326000000000001</v>
      </c>
    </row>
    <row r="51" spans="1:5">
      <c r="A51" s="107"/>
      <c r="B51" s="20">
        <v>-8.0373E-2</v>
      </c>
      <c r="C51" s="20">
        <v>0.44102999999999998</v>
      </c>
      <c r="D51" s="20">
        <v>-0.21159</v>
      </c>
      <c r="E51" s="20">
        <v>0.17504</v>
      </c>
    </row>
    <row r="52" spans="1:5">
      <c r="A52" s="107"/>
      <c r="B52" s="20">
        <v>3.5061000000000002E-2</v>
      </c>
      <c r="C52" s="20">
        <v>2.4501999999999998E-4</v>
      </c>
      <c r="D52" s="20">
        <v>-3.2919999999999998E-2</v>
      </c>
      <c r="E52" s="20">
        <v>-0.29793999999999998</v>
      </c>
    </row>
    <row r="53" spans="1:5">
      <c r="A53" s="107" t="s">
        <v>210</v>
      </c>
      <c r="B53" s="20">
        <v>0.24435999999999999</v>
      </c>
      <c r="C53" s="20">
        <v>0.33349000000000001</v>
      </c>
      <c r="D53" s="20">
        <v>0.26022000000000001</v>
      </c>
      <c r="E53" s="20">
        <v>0.12515999999999999</v>
      </c>
    </row>
    <row r="54" spans="1:5">
      <c r="A54" s="107"/>
      <c r="B54" s="20">
        <v>0.16328000000000001</v>
      </c>
      <c r="C54" s="20">
        <v>9.801E-2</v>
      </c>
      <c r="D54" s="20">
        <v>-0.20014000000000001</v>
      </c>
      <c r="E54" s="20">
        <v>-1.4815</v>
      </c>
    </row>
    <row r="55" spans="1:5">
      <c r="A55" s="107"/>
      <c r="B55" s="20">
        <v>0.20843999999999999</v>
      </c>
      <c r="C55" s="20">
        <v>0.24171999999999999</v>
      </c>
      <c r="D55" s="20">
        <v>-0.17544999999999999</v>
      </c>
      <c r="E55" s="20">
        <v>-0.30652000000000001</v>
      </c>
    </row>
    <row r="56" spans="1:5">
      <c r="A56" s="107"/>
      <c r="B56" s="20">
        <v>-7.6879000000000003E-2</v>
      </c>
      <c r="C56" s="20">
        <v>0.57465999999999995</v>
      </c>
      <c r="D56" s="20">
        <v>-6.2216E-2</v>
      </c>
      <c r="E56" s="20">
        <v>0.17104</v>
      </c>
    </row>
    <row r="57" spans="1:5">
      <c r="A57" s="107"/>
      <c r="B57" s="20">
        <v>4.6607999999999997E-2</v>
      </c>
      <c r="C57" s="20">
        <v>2.8951000000000001E-2</v>
      </c>
      <c r="D57" s="20">
        <v>0.14052999999999999</v>
      </c>
      <c r="E57" s="20">
        <v>-0.22658</v>
      </c>
    </row>
  </sheetData>
  <mergeCells count="8">
    <mergeCell ref="A43:A47"/>
    <mergeCell ref="A48:A52"/>
    <mergeCell ref="A53:A57"/>
    <mergeCell ref="B34:AB34"/>
    <mergeCell ref="B35:J35"/>
    <mergeCell ref="K35:S35"/>
    <mergeCell ref="T35:AB35"/>
    <mergeCell ref="A34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27"/>
  <sheetViews>
    <sheetView topLeftCell="N1" workbookViewId="0">
      <selection activeCell="AD13" sqref="AD13"/>
    </sheetView>
  </sheetViews>
  <sheetFormatPr baseColWidth="10" defaultColWidth="9.1640625" defaultRowHeight="16"/>
  <cols>
    <col min="1" max="1" width="10.83203125" style="1"/>
    <col min="2" max="2" width="10.5" style="1"/>
    <col min="3" max="5" width="9.1640625" style="1"/>
    <col min="6" max="6" width="10.5" style="1"/>
    <col min="7" max="7" width="14" style="1"/>
    <col min="8" max="8" width="9.1640625" style="1"/>
    <col min="9" max="9" width="10.83203125" style="1"/>
    <col min="10" max="14" width="9.1640625" style="1"/>
    <col min="15" max="15" width="14" style="1"/>
    <col min="16" max="16" width="9.1640625" style="1"/>
    <col min="17" max="17" width="18.83203125" style="1" customWidth="1"/>
    <col min="18" max="18" width="9.5" style="1"/>
    <col min="19" max="21" width="9.1640625" style="1"/>
    <col min="22" max="22" width="9.5" style="1"/>
    <col min="23" max="23" width="14" style="1"/>
    <col min="24" max="24" width="9.1640625" style="1"/>
    <col min="25" max="25" width="10.83203125" style="1"/>
    <col min="26" max="30" width="9.1640625" style="1"/>
    <col min="31" max="31" width="14" style="1"/>
    <col min="32" max="16384" width="9.1640625" style="1"/>
  </cols>
  <sheetData>
    <row r="1" spans="1:34">
      <c r="A1" s="1" t="s">
        <v>219</v>
      </c>
      <c r="B1" s="2" t="s">
        <v>220</v>
      </c>
      <c r="C1" s="1" t="s">
        <v>221</v>
      </c>
      <c r="D1" s="1" t="s">
        <v>0</v>
      </c>
      <c r="F1" s="2" t="s">
        <v>222</v>
      </c>
      <c r="G1" s="3" t="s">
        <v>223</v>
      </c>
      <c r="H1" s="3"/>
      <c r="I1" s="1" t="s">
        <v>224</v>
      </c>
      <c r="J1" s="6"/>
      <c r="N1" s="3"/>
      <c r="O1" s="3"/>
      <c r="P1" s="3"/>
      <c r="Q1" s="1" t="s">
        <v>225</v>
      </c>
      <c r="X1" s="3"/>
      <c r="Y1" s="1" t="s">
        <v>226</v>
      </c>
      <c r="AD1" s="3"/>
      <c r="AH1" s="1" t="s">
        <v>227</v>
      </c>
    </row>
    <row r="2" spans="1:34">
      <c r="A2" s="4">
        <v>37621</v>
      </c>
      <c r="B2" s="5">
        <v>1103.6410000000001</v>
      </c>
      <c r="C2" s="1">
        <v>2002</v>
      </c>
      <c r="D2" s="1">
        <v>12</v>
      </c>
      <c r="E2" s="1">
        <v>-11</v>
      </c>
      <c r="F2" s="3">
        <v>1103.6410000000001</v>
      </c>
      <c r="G2" s="3">
        <v>-5.2357940543594397E-2</v>
      </c>
      <c r="H2" s="3" t="s">
        <v>174</v>
      </c>
      <c r="I2" s="4">
        <v>37621</v>
      </c>
      <c r="J2" s="5">
        <v>194.4</v>
      </c>
      <c r="K2" s="1">
        <v>2002</v>
      </c>
      <c r="L2" s="1">
        <v>12</v>
      </c>
      <c r="M2" s="1">
        <v>-11</v>
      </c>
      <c r="N2" s="3">
        <v>194.4</v>
      </c>
      <c r="O2" s="3">
        <v>6.3340991138825103E-2</v>
      </c>
      <c r="P2" s="3" t="s">
        <v>174</v>
      </c>
      <c r="Q2" s="4">
        <v>37621</v>
      </c>
      <c r="R2" s="5">
        <v>103.581</v>
      </c>
      <c r="S2" s="1">
        <v>2002</v>
      </c>
      <c r="T2" s="1">
        <v>12</v>
      </c>
      <c r="U2" s="1">
        <v>-11</v>
      </c>
      <c r="V2" s="1">
        <v>103.581</v>
      </c>
      <c r="W2" s="1">
        <v>5.7677182557022604E-3</v>
      </c>
      <c r="X2" s="3" t="s">
        <v>174</v>
      </c>
      <c r="Y2" s="7">
        <v>37621</v>
      </c>
      <c r="Z2" s="8">
        <v>2.2309000000000001</v>
      </c>
      <c r="AA2" s="1">
        <v>2002</v>
      </c>
      <c r="AB2" s="1">
        <v>12</v>
      </c>
      <c r="AC2" s="1">
        <v>-8</v>
      </c>
      <c r="AD2" s="3">
        <v>2.2309000000000001</v>
      </c>
      <c r="AE2" s="1">
        <v>0</v>
      </c>
      <c r="AF2" s="1" t="s">
        <v>174</v>
      </c>
      <c r="AH2" s="1" t="s">
        <v>228</v>
      </c>
    </row>
    <row r="3" spans="1:34">
      <c r="A3" s="4">
        <v>37650</v>
      </c>
      <c r="B3" s="5">
        <v>1207.597</v>
      </c>
      <c r="C3" s="1">
        <v>2003</v>
      </c>
      <c r="D3" s="1">
        <v>1</v>
      </c>
      <c r="E3" s="1">
        <v>1</v>
      </c>
      <c r="F3" s="3">
        <v>1207.597</v>
      </c>
      <c r="G3" s="3">
        <v>9.4193673486215101E-2</v>
      </c>
      <c r="H3" s="3" t="s">
        <v>174</v>
      </c>
      <c r="I3" s="4">
        <v>37650</v>
      </c>
      <c r="J3" s="5">
        <v>209.41</v>
      </c>
      <c r="K3" s="1">
        <v>2003</v>
      </c>
      <c r="L3" s="1">
        <v>1</v>
      </c>
      <c r="M3" s="1">
        <v>1</v>
      </c>
      <c r="N3" s="3">
        <v>209.41</v>
      </c>
      <c r="O3" s="3">
        <v>7.7211934156378503E-2</v>
      </c>
      <c r="P3" s="3" t="s">
        <v>174</v>
      </c>
      <c r="Q3" s="4">
        <v>37650</v>
      </c>
      <c r="R3" s="5">
        <v>104.22499999999999</v>
      </c>
      <c r="S3" s="1">
        <v>2003</v>
      </c>
      <c r="T3" s="1">
        <v>1</v>
      </c>
      <c r="U3" s="1">
        <v>1</v>
      </c>
      <c r="V3" s="1">
        <v>104.22499999999999</v>
      </c>
      <c r="W3" s="1">
        <v>6.2173564649886702E-3</v>
      </c>
      <c r="X3" s="3" t="s">
        <v>174</v>
      </c>
      <c r="Y3" s="7">
        <v>37652</v>
      </c>
      <c r="Z3" s="8">
        <v>2.2309000000000001</v>
      </c>
      <c r="AA3" s="1">
        <v>2003</v>
      </c>
      <c r="AB3" s="1">
        <v>1</v>
      </c>
      <c r="AC3" s="1">
        <v>3</v>
      </c>
      <c r="AD3" s="3">
        <v>2.2309000000000001</v>
      </c>
      <c r="AE3" s="1">
        <v>0</v>
      </c>
      <c r="AF3" s="1" t="s">
        <v>174</v>
      </c>
      <c r="AH3" s="1" t="s">
        <v>229</v>
      </c>
    </row>
    <row r="4" spans="1:34">
      <c r="A4" s="4">
        <v>37680</v>
      </c>
      <c r="B4" s="5">
        <v>1213.8620000000001</v>
      </c>
      <c r="C4" s="1">
        <v>2003</v>
      </c>
      <c r="D4" s="1">
        <v>2</v>
      </c>
      <c r="E4" s="1">
        <v>1</v>
      </c>
      <c r="F4" s="3">
        <v>1213.8620000000001</v>
      </c>
      <c r="G4" s="3">
        <v>5.1879890393898799E-3</v>
      </c>
      <c r="H4" s="3" t="s">
        <v>174</v>
      </c>
      <c r="I4" s="4">
        <v>37680</v>
      </c>
      <c r="J4" s="5">
        <v>221.97</v>
      </c>
      <c r="K4" s="1">
        <v>2003</v>
      </c>
      <c r="L4" s="1">
        <v>2</v>
      </c>
      <c r="M4" s="1">
        <v>1</v>
      </c>
      <c r="N4" s="3">
        <v>221.97</v>
      </c>
      <c r="O4" s="3">
        <v>5.9978033522754402E-2</v>
      </c>
      <c r="P4" s="3" t="s">
        <v>174</v>
      </c>
      <c r="Q4" s="4">
        <v>37680</v>
      </c>
      <c r="R4" s="5">
        <v>104.32299999999999</v>
      </c>
      <c r="S4" s="1">
        <v>2003</v>
      </c>
      <c r="T4" s="1">
        <v>2</v>
      </c>
      <c r="U4" s="1">
        <v>1</v>
      </c>
      <c r="V4" s="1">
        <v>104.32299999999999</v>
      </c>
      <c r="W4" s="1">
        <v>9.4027344686974297E-4</v>
      </c>
      <c r="X4" s="3" t="s">
        <v>174</v>
      </c>
      <c r="Y4" s="7">
        <v>37680</v>
      </c>
      <c r="Z4" s="8">
        <v>2.2309000000000001</v>
      </c>
      <c r="AA4" s="1">
        <v>2003</v>
      </c>
      <c r="AB4" s="1">
        <v>2</v>
      </c>
      <c r="AC4" s="1">
        <v>2</v>
      </c>
      <c r="AD4" s="3">
        <v>2.2309000000000001</v>
      </c>
      <c r="AE4" s="1">
        <v>0</v>
      </c>
      <c r="AF4" s="1" t="s">
        <v>174</v>
      </c>
      <c r="AH4" s="1" t="s">
        <v>230</v>
      </c>
    </row>
    <row r="5" spans="1:34">
      <c r="A5" s="4">
        <v>37711</v>
      </c>
      <c r="B5" s="5">
        <v>1215.1679999999999</v>
      </c>
      <c r="C5" s="1">
        <v>2003</v>
      </c>
      <c r="D5" s="1">
        <v>3</v>
      </c>
      <c r="E5" s="1">
        <v>1</v>
      </c>
      <c r="F5" s="3">
        <v>1215.1679999999999</v>
      </c>
      <c r="G5" s="3">
        <v>1.07590483926494E-3</v>
      </c>
      <c r="H5" s="3" t="s">
        <v>174</v>
      </c>
      <c r="I5" s="4">
        <v>37711</v>
      </c>
      <c r="J5" s="5">
        <v>204.24</v>
      </c>
      <c r="K5" s="1">
        <v>2003</v>
      </c>
      <c r="L5" s="1">
        <v>3</v>
      </c>
      <c r="M5" s="1">
        <v>1</v>
      </c>
      <c r="N5" s="3">
        <v>204.24</v>
      </c>
      <c r="O5" s="3">
        <v>-7.9875658872820596E-2</v>
      </c>
      <c r="P5" s="3" t="s">
        <v>174</v>
      </c>
      <c r="Q5" s="4">
        <v>37711</v>
      </c>
      <c r="R5" s="5">
        <v>104.773</v>
      </c>
      <c r="S5" s="1">
        <v>2003</v>
      </c>
      <c r="T5" s="1">
        <v>3</v>
      </c>
      <c r="U5" s="1">
        <v>1</v>
      </c>
      <c r="V5" s="1">
        <v>104.773</v>
      </c>
      <c r="W5" s="1">
        <v>4.31352625978934E-3</v>
      </c>
      <c r="X5" s="3" t="s">
        <v>174</v>
      </c>
      <c r="Y5" s="4">
        <v>37711</v>
      </c>
      <c r="Z5" s="9">
        <v>1.9726999999999999</v>
      </c>
      <c r="AA5" s="1">
        <v>2003</v>
      </c>
      <c r="AB5" s="1">
        <v>3</v>
      </c>
      <c r="AC5" s="1">
        <v>1</v>
      </c>
      <c r="AD5" s="3">
        <v>1.9726999999999999</v>
      </c>
      <c r="AE5" s="1">
        <v>-0.11573804294230999</v>
      </c>
      <c r="AF5" s="1" t="s">
        <v>174</v>
      </c>
      <c r="AH5" s="1" t="s">
        <v>231</v>
      </c>
    </row>
    <row r="6" spans="1:34">
      <c r="A6" s="4">
        <v>37741</v>
      </c>
      <c r="B6" s="5">
        <v>1239.952</v>
      </c>
      <c r="C6" s="1">
        <v>2003</v>
      </c>
      <c r="D6" s="1">
        <v>4</v>
      </c>
      <c r="E6" s="1">
        <v>1</v>
      </c>
      <c r="F6" s="3">
        <v>1239.952</v>
      </c>
      <c r="G6" s="3">
        <v>2.03955337862749E-2</v>
      </c>
      <c r="H6" s="3" t="s">
        <v>174</v>
      </c>
      <c r="I6" s="4">
        <v>37741</v>
      </c>
      <c r="J6" s="5">
        <v>199.95</v>
      </c>
      <c r="K6" s="1">
        <v>2003</v>
      </c>
      <c r="L6" s="1">
        <v>4</v>
      </c>
      <c r="M6" s="1">
        <v>1</v>
      </c>
      <c r="N6" s="3">
        <v>199.95</v>
      </c>
      <c r="O6" s="3">
        <v>-2.1004700352526499E-2</v>
      </c>
      <c r="P6" s="3" t="s">
        <v>174</v>
      </c>
      <c r="Q6" s="4">
        <v>37741</v>
      </c>
      <c r="R6" s="5">
        <v>105.252</v>
      </c>
      <c r="S6" s="1">
        <v>2003</v>
      </c>
      <c r="T6" s="1">
        <v>4</v>
      </c>
      <c r="U6" s="1">
        <v>1</v>
      </c>
      <c r="V6" s="1">
        <v>105.252</v>
      </c>
      <c r="W6" s="1">
        <v>4.5717885333053298E-3</v>
      </c>
      <c r="X6" s="3" t="s">
        <v>174</v>
      </c>
      <c r="Y6" s="4">
        <v>37741</v>
      </c>
      <c r="Z6" s="9">
        <v>1.9870000000000001</v>
      </c>
      <c r="AA6" s="1">
        <v>2003</v>
      </c>
      <c r="AB6" s="1">
        <v>4</v>
      </c>
      <c r="AC6" s="1">
        <v>1</v>
      </c>
      <c r="AD6" s="3">
        <v>1.9870000000000001</v>
      </c>
      <c r="AE6" s="1">
        <v>7.2489481421403202E-3</v>
      </c>
      <c r="AF6" s="1" t="s">
        <v>174</v>
      </c>
    </row>
    <row r="7" spans="1:34">
      <c r="A7" s="4">
        <v>37771</v>
      </c>
      <c r="B7" s="5">
        <v>1300.865</v>
      </c>
      <c r="C7" s="1">
        <v>2003</v>
      </c>
      <c r="D7" s="1">
        <v>5</v>
      </c>
      <c r="E7" s="1">
        <v>1</v>
      </c>
      <c r="F7" s="3">
        <v>1300.865</v>
      </c>
      <c r="G7" s="3">
        <v>4.9125288720853699E-2</v>
      </c>
      <c r="H7" s="3" t="s">
        <v>174</v>
      </c>
      <c r="I7" s="4">
        <v>37771</v>
      </c>
      <c r="J7" s="5">
        <v>208.64</v>
      </c>
      <c r="K7" s="1">
        <v>2003</v>
      </c>
      <c r="L7" s="1">
        <v>5</v>
      </c>
      <c r="M7" s="1">
        <v>1</v>
      </c>
      <c r="N7" s="3">
        <v>208.64</v>
      </c>
      <c r="O7" s="3">
        <v>4.3460865216304101E-2</v>
      </c>
      <c r="P7" s="3" t="s">
        <v>174</v>
      </c>
      <c r="Q7" s="4">
        <v>37771</v>
      </c>
      <c r="R7" s="5">
        <v>105.54</v>
      </c>
      <c r="S7" s="1">
        <v>2003</v>
      </c>
      <c r="T7" s="1">
        <v>5</v>
      </c>
      <c r="U7" s="1">
        <v>1</v>
      </c>
      <c r="V7" s="1">
        <v>105.54</v>
      </c>
      <c r="W7" s="1">
        <v>2.7362900467450598E-3</v>
      </c>
      <c r="X7" s="3" t="s">
        <v>174</v>
      </c>
      <c r="Y7" s="4">
        <v>37771</v>
      </c>
      <c r="Z7" s="9">
        <v>2.0888</v>
      </c>
      <c r="AA7" s="1">
        <v>2003</v>
      </c>
      <c r="AB7" s="1">
        <v>5</v>
      </c>
      <c r="AC7" s="1">
        <v>1</v>
      </c>
      <c r="AD7" s="3">
        <v>2.0888</v>
      </c>
      <c r="AE7" s="1">
        <v>5.1233014594866601E-2</v>
      </c>
      <c r="AF7" s="1" t="s">
        <v>174</v>
      </c>
    </row>
    <row r="8" spans="1:34">
      <c r="A8" s="4">
        <v>37802</v>
      </c>
      <c r="B8" s="5">
        <v>1214.547</v>
      </c>
      <c r="C8" s="1">
        <v>2003</v>
      </c>
      <c r="D8" s="1">
        <v>6</v>
      </c>
      <c r="E8" s="1">
        <v>1</v>
      </c>
      <c r="F8" s="3">
        <v>1214.547</v>
      </c>
      <c r="G8" s="3">
        <v>-6.6354310401156094E-2</v>
      </c>
      <c r="H8" s="3" t="s">
        <v>174</v>
      </c>
      <c r="I8" s="4">
        <v>37802</v>
      </c>
      <c r="J8" s="5">
        <v>208.88</v>
      </c>
      <c r="K8" s="1">
        <v>2003</v>
      </c>
      <c r="L8" s="1">
        <v>6</v>
      </c>
      <c r="M8" s="1">
        <v>1</v>
      </c>
      <c r="N8" s="3">
        <v>208.88</v>
      </c>
      <c r="O8" s="3">
        <v>1.1503067484663E-3</v>
      </c>
      <c r="P8" s="3" t="s">
        <v>174</v>
      </c>
      <c r="Q8" s="4">
        <v>37802</v>
      </c>
      <c r="R8" s="5">
        <v>105.29900000000001</v>
      </c>
      <c r="S8" s="1">
        <v>2003</v>
      </c>
      <c r="T8" s="1">
        <v>6</v>
      </c>
      <c r="U8" s="1">
        <v>1</v>
      </c>
      <c r="V8" s="1">
        <v>105.29900000000001</v>
      </c>
      <c r="W8" s="1">
        <v>-2.2834944097024799E-3</v>
      </c>
      <c r="X8" s="3" t="s">
        <v>174</v>
      </c>
      <c r="Y8" s="4">
        <v>37802</v>
      </c>
      <c r="Z8" s="9">
        <v>2.2382</v>
      </c>
      <c r="AA8" s="1">
        <v>2003</v>
      </c>
      <c r="AB8" s="1">
        <v>6</v>
      </c>
      <c r="AC8" s="1">
        <v>1</v>
      </c>
      <c r="AD8" s="3">
        <v>2.2382</v>
      </c>
      <c r="AE8" s="1">
        <v>7.15243201838376E-2</v>
      </c>
      <c r="AF8" s="1" t="s">
        <v>174</v>
      </c>
    </row>
    <row r="9" spans="1:34">
      <c r="A9" s="4">
        <v>38742</v>
      </c>
      <c r="B9" s="5">
        <v>1009.597</v>
      </c>
      <c r="C9" s="1">
        <v>2006</v>
      </c>
      <c r="D9" s="1">
        <v>1</v>
      </c>
      <c r="E9" s="1">
        <v>1</v>
      </c>
      <c r="F9" s="3">
        <v>1009.597</v>
      </c>
      <c r="G9" s="3">
        <v>9.3287028764926297E-2</v>
      </c>
      <c r="H9" s="3" t="s">
        <v>174</v>
      </c>
      <c r="I9" s="4">
        <v>38742</v>
      </c>
      <c r="J9" s="5">
        <v>342.52</v>
      </c>
      <c r="K9" s="1">
        <v>2006</v>
      </c>
      <c r="L9" s="1">
        <v>1</v>
      </c>
      <c r="M9" s="1">
        <v>1</v>
      </c>
      <c r="N9" s="3">
        <v>342.52</v>
      </c>
      <c r="O9" s="3">
        <v>3.2215290962239698E-2</v>
      </c>
      <c r="P9" s="3" t="s">
        <v>174</v>
      </c>
      <c r="Q9" s="4">
        <v>38742</v>
      </c>
      <c r="R9" s="5">
        <v>116.39</v>
      </c>
      <c r="S9" s="1">
        <v>2006</v>
      </c>
      <c r="T9" s="1">
        <v>1</v>
      </c>
      <c r="U9" s="1">
        <v>1</v>
      </c>
      <c r="V9" s="1">
        <v>116.39</v>
      </c>
      <c r="W9" s="1">
        <v>5.7550724136738902E-3</v>
      </c>
      <c r="X9" s="3" t="s">
        <v>174</v>
      </c>
      <c r="Y9" s="4">
        <v>38745</v>
      </c>
      <c r="Z9" s="9">
        <v>1.4</v>
      </c>
      <c r="AA9" s="1">
        <v>2006</v>
      </c>
      <c r="AB9" s="1">
        <v>1</v>
      </c>
      <c r="AC9" s="1">
        <v>1</v>
      </c>
      <c r="AD9" s="3">
        <v>1.4</v>
      </c>
      <c r="AE9" s="1">
        <v>5.0251256281406299E-3</v>
      </c>
      <c r="AF9" s="1" t="s">
        <v>174</v>
      </c>
    </row>
    <row r="10" spans="1:34">
      <c r="A10" s="4">
        <v>38776</v>
      </c>
      <c r="B10" s="5">
        <v>1053.01</v>
      </c>
      <c r="C10" s="1">
        <v>2006</v>
      </c>
      <c r="D10" s="1">
        <v>2</v>
      </c>
      <c r="E10" s="1">
        <v>1</v>
      </c>
      <c r="F10" s="3">
        <v>1053.01</v>
      </c>
      <c r="G10" s="3">
        <v>4.3000325872600699E-2</v>
      </c>
      <c r="H10" s="3" t="s">
        <v>174</v>
      </c>
      <c r="I10" s="4">
        <v>38776</v>
      </c>
      <c r="J10" s="5">
        <v>324.36</v>
      </c>
      <c r="K10" s="1">
        <v>2006</v>
      </c>
      <c r="L10" s="1">
        <v>2</v>
      </c>
      <c r="M10" s="1">
        <v>1</v>
      </c>
      <c r="N10" s="3">
        <v>324.36</v>
      </c>
      <c r="O10" s="3">
        <v>-5.3018801821791299E-2</v>
      </c>
      <c r="P10" s="3" t="s">
        <v>174</v>
      </c>
      <c r="Q10" s="4">
        <v>38776</v>
      </c>
      <c r="R10" s="5">
        <v>116.563</v>
      </c>
      <c r="S10" s="1">
        <v>2006</v>
      </c>
      <c r="T10" s="1">
        <v>2</v>
      </c>
      <c r="U10" s="1">
        <v>1</v>
      </c>
      <c r="V10" s="1">
        <v>116.563</v>
      </c>
      <c r="W10" s="1">
        <v>1.48638199158005E-3</v>
      </c>
      <c r="X10" s="3" t="s">
        <v>174</v>
      </c>
      <c r="Y10" s="4">
        <v>38776</v>
      </c>
      <c r="Z10" s="9">
        <v>1.3116000000000001</v>
      </c>
      <c r="AA10" s="1">
        <v>2006</v>
      </c>
      <c r="AB10" s="1">
        <v>2</v>
      </c>
      <c r="AC10" s="1">
        <v>1</v>
      </c>
      <c r="AD10" s="3">
        <v>1.3116000000000001</v>
      </c>
      <c r="AE10" s="1">
        <v>-6.3142857142857001E-2</v>
      </c>
      <c r="AF10" s="1" t="s">
        <v>174</v>
      </c>
    </row>
    <row r="11" spans="1:34">
      <c r="A11" s="4">
        <v>38807</v>
      </c>
      <c r="B11" s="5">
        <v>1061.088</v>
      </c>
      <c r="C11" s="1">
        <v>2006</v>
      </c>
      <c r="D11" s="1">
        <v>3</v>
      </c>
      <c r="E11" s="1">
        <v>1</v>
      </c>
      <c r="F11" s="3">
        <v>1061.088</v>
      </c>
      <c r="G11" s="3">
        <v>7.6713421524961497E-3</v>
      </c>
      <c r="H11" s="3" t="s">
        <v>174</v>
      </c>
      <c r="I11" s="4">
        <v>38807</v>
      </c>
      <c r="J11" s="5">
        <v>333.18</v>
      </c>
      <c r="K11" s="1">
        <v>2006</v>
      </c>
      <c r="L11" s="1">
        <v>3</v>
      </c>
      <c r="M11" s="1">
        <v>1</v>
      </c>
      <c r="N11" s="3">
        <v>333.18</v>
      </c>
      <c r="O11" s="3">
        <v>2.7192008879023299E-2</v>
      </c>
      <c r="P11" s="3" t="s">
        <v>174</v>
      </c>
      <c r="Q11" s="4">
        <v>38807</v>
      </c>
      <c r="R11" s="5">
        <v>117.05200000000001</v>
      </c>
      <c r="S11" s="1">
        <v>2006</v>
      </c>
      <c r="T11" s="1">
        <v>3</v>
      </c>
      <c r="U11" s="1">
        <v>1</v>
      </c>
      <c r="V11" s="1">
        <v>117.05200000000001</v>
      </c>
      <c r="W11" s="1">
        <v>4.1951562674262402E-3</v>
      </c>
      <c r="X11" s="3" t="s">
        <v>174</v>
      </c>
      <c r="Y11" s="4">
        <v>38807</v>
      </c>
      <c r="Z11" s="9">
        <v>1.5541</v>
      </c>
      <c r="AA11" s="1">
        <v>2006</v>
      </c>
      <c r="AB11" s="1">
        <v>3</v>
      </c>
      <c r="AC11" s="1">
        <v>1</v>
      </c>
      <c r="AD11" s="3">
        <v>1.5541</v>
      </c>
      <c r="AE11" s="1">
        <v>0.18488868557487001</v>
      </c>
      <c r="AF11" s="1" t="s">
        <v>174</v>
      </c>
    </row>
    <row r="12" spans="1:34">
      <c r="A12" s="4">
        <v>38835</v>
      </c>
      <c r="B12" s="5">
        <v>1172.347</v>
      </c>
      <c r="C12" s="1">
        <v>2006</v>
      </c>
      <c r="D12" s="1">
        <v>4</v>
      </c>
      <c r="E12" s="1">
        <v>1</v>
      </c>
      <c r="F12" s="3">
        <v>1172.347</v>
      </c>
      <c r="G12" s="3">
        <v>0.104853697337073</v>
      </c>
      <c r="H12" s="3" t="s">
        <v>174</v>
      </c>
      <c r="I12" s="4">
        <v>38835</v>
      </c>
      <c r="J12" s="5">
        <v>349.89</v>
      </c>
      <c r="K12" s="1">
        <v>2006</v>
      </c>
      <c r="L12" s="1">
        <v>4</v>
      </c>
      <c r="M12" s="1">
        <v>1</v>
      </c>
      <c r="N12" s="3">
        <v>349.89</v>
      </c>
      <c r="O12" s="3">
        <v>5.0153070412389603E-2</v>
      </c>
      <c r="P12" s="3" t="s">
        <v>174</v>
      </c>
      <c r="Q12" s="4">
        <v>38835</v>
      </c>
      <c r="R12" s="5">
        <v>116.913</v>
      </c>
      <c r="S12" s="1">
        <v>2006</v>
      </c>
      <c r="T12" s="1">
        <v>4</v>
      </c>
      <c r="U12" s="1">
        <v>1</v>
      </c>
      <c r="V12" s="1">
        <v>116.913</v>
      </c>
      <c r="W12" s="1">
        <v>-1.18750640740876E-3</v>
      </c>
      <c r="X12" s="3" t="s">
        <v>174</v>
      </c>
      <c r="Y12" s="4">
        <v>38837</v>
      </c>
      <c r="Z12" s="9">
        <v>1.5553999999999999</v>
      </c>
      <c r="AA12" s="1">
        <v>2006</v>
      </c>
      <c r="AB12" s="1">
        <v>4</v>
      </c>
      <c r="AC12" s="1">
        <v>1</v>
      </c>
      <c r="AD12" s="3">
        <v>1.5553999999999999</v>
      </c>
      <c r="AE12" s="1">
        <v>8.3649700791445605E-4</v>
      </c>
      <c r="AF12" s="1" t="s">
        <v>174</v>
      </c>
    </row>
    <row r="13" spans="1:34">
      <c r="A13" s="4">
        <v>39836</v>
      </c>
      <c r="B13" s="5">
        <v>2032.682</v>
      </c>
      <c r="C13" s="1">
        <v>2009</v>
      </c>
      <c r="D13" s="1">
        <v>1</v>
      </c>
      <c r="E13" s="1">
        <v>1</v>
      </c>
      <c r="F13" s="3">
        <v>2032.682</v>
      </c>
      <c r="G13" s="3">
        <v>0.11825790742478801</v>
      </c>
      <c r="H13" s="3" t="s">
        <v>174</v>
      </c>
      <c r="I13" s="4">
        <v>39836</v>
      </c>
      <c r="J13" s="5">
        <v>225.79</v>
      </c>
      <c r="K13" s="1">
        <v>2009</v>
      </c>
      <c r="L13" s="1">
        <v>1</v>
      </c>
      <c r="M13" s="1">
        <v>1</v>
      </c>
      <c r="N13" s="3">
        <v>225.79</v>
      </c>
      <c r="O13" s="3">
        <v>-1.63370218698266E-2</v>
      </c>
      <c r="P13" s="3" t="s">
        <v>174</v>
      </c>
      <c r="Q13" s="4">
        <v>39836</v>
      </c>
      <c r="R13" s="5">
        <v>131.13200000000001</v>
      </c>
      <c r="S13" s="1">
        <v>2009</v>
      </c>
      <c r="T13" s="1">
        <v>1</v>
      </c>
      <c r="U13" s="1">
        <v>1</v>
      </c>
      <c r="V13" s="1">
        <v>131.13200000000001</v>
      </c>
      <c r="W13" s="1">
        <v>-6.9519121544869798E-3</v>
      </c>
      <c r="X13" s="3" t="s">
        <v>174</v>
      </c>
      <c r="Y13" s="4">
        <v>39837</v>
      </c>
      <c r="Z13" s="9">
        <v>0.9597</v>
      </c>
      <c r="AA13" s="1">
        <v>2009</v>
      </c>
      <c r="AB13" s="1">
        <v>1</v>
      </c>
      <c r="AC13" s="1">
        <v>1</v>
      </c>
      <c r="AD13" s="3">
        <v>0.9597</v>
      </c>
      <c r="AE13" s="1">
        <v>3.8702928870293302E-3</v>
      </c>
      <c r="AF13" s="1" t="s">
        <v>174</v>
      </c>
    </row>
    <row r="14" spans="1:34">
      <c r="A14" s="4">
        <v>39871</v>
      </c>
      <c r="B14" s="5">
        <v>2140.489</v>
      </c>
      <c r="C14" s="1">
        <v>2009</v>
      </c>
      <c r="D14" s="1">
        <v>2</v>
      </c>
      <c r="E14" s="1">
        <v>1</v>
      </c>
      <c r="F14" s="3">
        <v>2140.489</v>
      </c>
      <c r="G14" s="3">
        <v>5.3036825238773198E-2</v>
      </c>
      <c r="H14" s="3" t="s">
        <v>174</v>
      </c>
      <c r="I14" s="4">
        <v>39871</v>
      </c>
      <c r="J14" s="5">
        <v>211.57</v>
      </c>
      <c r="K14" s="1">
        <v>2009</v>
      </c>
      <c r="L14" s="1">
        <v>2</v>
      </c>
      <c r="M14" s="1">
        <v>1</v>
      </c>
      <c r="N14" s="3">
        <v>211.57</v>
      </c>
      <c r="O14" s="3">
        <v>-6.2978874175118493E-2</v>
      </c>
      <c r="P14" s="3" t="s">
        <v>174</v>
      </c>
      <c r="Q14" s="4">
        <v>39871</v>
      </c>
      <c r="R14" s="5">
        <v>130.85400000000001</v>
      </c>
      <c r="S14" s="1">
        <v>2009</v>
      </c>
      <c r="T14" s="1">
        <v>2</v>
      </c>
      <c r="U14" s="1">
        <v>1</v>
      </c>
      <c r="V14" s="1">
        <v>130.85400000000001</v>
      </c>
      <c r="W14" s="1">
        <v>-2.1200012201445201E-3</v>
      </c>
      <c r="X14" s="3" t="s">
        <v>174</v>
      </c>
      <c r="Y14" s="4">
        <v>39871</v>
      </c>
      <c r="Z14" s="9">
        <v>0.81279999999999997</v>
      </c>
      <c r="AA14" s="1">
        <v>2009</v>
      </c>
      <c r="AB14" s="1">
        <v>2</v>
      </c>
      <c r="AC14" s="1">
        <v>1</v>
      </c>
      <c r="AD14" s="3">
        <v>0.81279999999999997</v>
      </c>
      <c r="AE14" s="1">
        <v>-0.153068667291862</v>
      </c>
      <c r="AF14" s="1" t="s">
        <v>174</v>
      </c>
    </row>
    <row r="15" spans="1:34">
      <c r="A15" s="4">
        <v>39903</v>
      </c>
      <c r="B15" s="5">
        <v>2507.7890000000002</v>
      </c>
      <c r="C15" s="1">
        <v>2009</v>
      </c>
      <c r="D15" s="1">
        <v>3</v>
      </c>
      <c r="E15" s="1">
        <v>1</v>
      </c>
      <c r="F15" s="3">
        <v>2507.7890000000002</v>
      </c>
      <c r="G15" s="3">
        <v>0.17159630346149901</v>
      </c>
      <c r="H15" s="3" t="s">
        <v>174</v>
      </c>
      <c r="I15" s="4">
        <v>39903</v>
      </c>
      <c r="J15" s="5">
        <v>220.4</v>
      </c>
      <c r="K15" s="1">
        <v>2009</v>
      </c>
      <c r="L15" s="1">
        <v>3</v>
      </c>
      <c r="M15" s="1">
        <v>1</v>
      </c>
      <c r="N15" s="3">
        <v>220.4</v>
      </c>
      <c r="O15" s="3">
        <v>4.1735595783901402E-2</v>
      </c>
      <c r="P15" s="3" t="s">
        <v>174</v>
      </c>
      <c r="Q15" s="4">
        <v>39903</v>
      </c>
      <c r="R15" s="5">
        <v>131.066</v>
      </c>
      <c r="S15" s="1">
        <v>2009</v>
      </c>
      <c r="T15" s="1">
        <v>3</v>
      </c>
      <c r="U15" s="1">
        <v>1</v>
      </c>
      <c r="V15" s="1">
        <v>131.066</v>
      </c>
      <c r="W15" s="1">
        <v>1.6201262475735499E-3</v>
      </c>
      <c r="X15" s="3" t="s">
        <v>174</v>
      </c>
      <c r="Y15" s="4">
        <v>39903</v>
      </c>
      <c r="Z15" s="9">
        <v>0.81059999999999999</v>
      </c>
      <c r="AA15" s="1">
        <v>2009</v>
      </c>
      <c r="AB15" s="1">
        <v>3</v>
      </c>
      <c r="AC15" s="1">
        <v>1</v>
      </c>
      <c r="AD15" s="3">
        <v>0.81059999999999999</v>
      </c>
      <c r="AE15" s="1">
        <v>-2.7066929133857998E-3</v>
      </c>
      <c r="AF15" s="1" t="s">
        <v>174</v>
      </c>
    </row>
    <row r="16" spans="1:34">
      <c r="A16" s="4">
        <v>39933</v>
      </c>
      <c r="B16" s="5">
        <v>2622.9259999999999</v>
      </c>
      <c r="C16" s="1">
        <v>2009</v>
      </c>
      <c r="D16" s="1">
        <v>4</v>
      </c>
      <c r="E16" s="1">
        <v>1</v>
      </c>
      <c r="F16" s="3">
        <v>2622.9259999999999</v>
      </c>
      <c r="G16" s="3">
        <v>4.5911757328866099E-2</v>
      </c>
      <c r="H16" s="3" t="s">
        <v>174</v>
      </c>
      <c r="I16" s="4">
        <v>39933</v>
      </c>
      <c r="J16" s="5">
        <v>222.39</v>
      </c>
      <c r="K16" s="1">
        <v>2009</v>
      </c>
      <c r="L16" s="1">
        <v>4</v>
      </c>
      <c r="M16" s="1">
        <v>1</v>
      </c>
      <c r="N16" s="3">
        <v>222.39</v>
      </c>
      <c r="O16" s="3">
        <v>9.0290381125226003E-3</v>
      </c>
      <c r="P16" s="3" t="s">
        <v>174</v>
      </c>
      <c r="Q16" s="4">
        <v>39933</v>
      </c>
      <c r="R16" s="5">
        <v>131.066</v>
      </c>
      <c r="S16" s="1">
        <v>2009</v>
      </c>
      <c r="T16" s="1">
        <v>4</v>
      </c>
      <c r="U16" s="1">
        <v>1</v>
      </c>
      <c r="V16" s="1">
        <v>131.066</v>
      </c>
      <c r="W16" s="1">
        <v>0</v>
      </c>
      <c r="X16" s="3" t="s">
        <v>174</v>
      </c>
      <c r="Y16" s="4">
        <v>39933</v>
      </c>
      <c r="Z16" s="9">
        <v>0.81859999999999999</v>
      </c>
      <c r="AA16" s="1">
        <v>2009</v>
      </c>
      <c r="AB16" s="1">
        <v>4</v>
      </c>
      <c r="AC16" s="1">
        <v>1</v>
      </c>
      <c r="AD16" s="3">
        <v>0.81859999999999999</v>
      </c>
      <c r="AE16" s="1">
        <v>9.86923266716014E-3</v>
      </c>
      <c r="AF16" s="1" t="s">
        <v>174</v>
      </c>
    </row>
    <row r="17" spans="1:32">
      <c r="A17" s="4">
        <v>39960</v>
      </c>
      <c r="B17" s="5">
        <v>2759.712</v>
      </c>
      <c r="C17" s="1">
        <v>2009</v>
      </c>
      <c r="D17" s="1">
        <v>5</v>
      </c>
      <c r="E17" s="1">
        <v>1</v>
      </c>
      <c r="F17" s="3">
        <v>2759.712</v>
      </c>
      <c r="G17" s="3">
        <v>5.2150155970850903E-2</v>
      </c>
      <c r="H17" s="3" t="s">
        <v>174</v>
      </c>
      <c r="I17" s="4">
        <v>39960</v>
      </c>
      <c r="J17" s="5">
        <v>246.46</v>
      </c>
      <c r="K17" s="1">
        <v>2009</v>
      </c>
      <c r="L17" s="1">
        <v>5</v>
      </c>
      <c r="M17" s="1">
        <v>1</v>
      </c>
      <c r="N17" s="3">
        <v>246.46</v>
      </c>
      <c r="O17" s="3">
        <v>0.108233283870678</v>
      </c>
      <c r="P17" s="3" t="s">
        <v>174</v>
      </c>
      <c r="Q17" s="4">
        <v>39960</v>
      </c>
      <c r="R17" s="5">
        <v>131.64400000000001</v>
      </c>
      <c r="S17" s="1">
        <v>2009</v>
      </c>
      <c r="T17" s="1">
        <v>5</v>
      </c>
      <c r="U17" s="1">
        <v>1</v>
      </c>
      <c r="V17" s="1">
        <v>131.64400000000001</v>
      </c>
      <c r="W17" s="1">
        <v>4.4099919124716003E-3</v>
      </c>
      <c r="X17" s="3" t="s">
        <v>174</v>
      </c>
      <c r="Y17" s="4">
        <v>39964</v>
      </c>
      <c r="Z17" s="9">
        <v>0.81930000000000003</v>
      </c>
      <c r="AA17" s="1">
        <v>2009</v>
      </c>
      <c r="AB17" s="1">
        <v>5</v>
      </c>
      <c r="AC17" s="1">
        <v>1</v>
      </c>
      <c r="AD17" s="3">
        <v>0.81930000000000003</v>
      </c>
      <c r="AE17" s="1">
        <v>8.5511849499149005E-4</v>
      </c>
      <c r="AF17" s="1" t="s">
        <v>174</v>
      </c>
    </row>
    <row r="18" spans="1:32">
      <c r="A18" s="4">
        <v>39994</v>
      </c>
      <c r="B18" s="5">
        <v>3166.4740000000002</v>
      </c>
      <c r="C18" s="1">
        <v>2009</v>
      </c>
      <c r="D18" s="1">
        <v>6</v>
      </c>
      <c r="E18" s="1">
        <v>1</v>
      </c>
      <c r="F18" s="3">
        <v>3166.4740000000002</v>
      </c>
      <c r="G18" s="3">
        <v>0.14739291636228699</v>
      </c>
      <c r="H18" s="3" t="s">
        <v>174</v>
      </c>
      <c r="I18" s="4">
        <v>39994</v>
      </c>
      <c r="J18" s="5">
        <v>249.96</v>
      </c>
      <c r="K18" s="1">
        <v>2009</v>
      </c>
      <c r="L18" s="1">
        <v>6</v>
      </c>
      <c r="M18" s="1">
        <v>1</v>
      </c>
      <c r="N18" s="3">
        <v>249.96</v>
      </c>
      <c r="O18" s="3">
        <v>1.42010873975493E-2</v>
      </c>
      <c r="P18" s="3" t="s">
        <v>174</v>
      </c>
      <c r="Q18" s="4">
        <v>39994</v>
      </c>
      <c r="R18" s="5">
        <v>131.446</v>
      </c>
      <c r="S18" s="1">
        <v>2009</v>
      </c>
      <c r="T18" s="1">
        <v>6</v>
      </c>
      <c r="U18" s="1">
        <v>1</v>
      </c>
      <c r="V18" s="1">
        <v>131.446</v>
      </c>
      <c r="W18" s="1">
        <v>-1.50405639451861E-3</v>
      </c>
      <c r="X18" s="3" t="s">
        <v>174</v>
      </c>
      <c r="Y18" s="4">
        <v>39994</v>
      </c>
      <c r="Z18" s="9">
        <v>1.0939000000000001</v>
      </c>
      <c r="AA18" s="1">
        <v>2009</v>
      </c>
      <c r="AB18" s="1">
        <v>6</v>
      </c>
      <c r="AC18" s="1">
        <v>1</v>
      </c>
      <c r="AD18" s="3">
        <v>1.0939000000000001</v>
      </c>
      <c r="AE18" s="1">
        <v>0.33516416453069697</v>
      </c>
      <c r="AF18" s="1" t="s">
        <v>174</v>
      </c>
    </row>
    <row r="19" spans="1:32">
      <c r="A19" s="4">
        <v>40025</v>
      </c>
      <c r="B19" s="5">
        <v>3734.6219999999998</v>
      </c>
      <c r="C19" s="1">
        <v>2009</v>
      </c>
      <c r="D19" s="1">
        <v>7</v>
      </c>
      <c r="E19" s="1">
        <v>1</v>
      </c>
      <c r="F19" s="3">
        <v>3734.6219999999998</v>
      </c>
      <c r="G19" s="3">
        <v>0.17942607455485199</v>
      </c>
      <c r="H19" s="3" t="s">
        <v>174</v>
      </c>
      <c r="I19" s="4">
        <v>40025</v>
      </c>
      <c r="J19" s="5">
        <v>257.45</v>
      </c>
      <c r="K19" s="1">
        <v>2009</v>
      </c>
      <c r="L19" s="1">
        <v>7</v>
      </c>
      <c r="M19" s="1">
        <v>1</v>
      </c>
      <c r="N19" s="3">
        <v>257.45</v>
      </c>
      <c r="O19" s="3">
        <v>2.9964794367098702E-2</v>
      </c>
      <c r="P19" s="3" t="s">
        <v>174</v>
      </c>
      <c r="Q19" s="4">
        <v>40025</v>
      </c>
      <c r="R19" s="5">
        <v>130.54259999999999</v>
      </c>
      <c r="S19" s="1">
        <v>2009</v>
      </c>
      <c r="T19" s="1">
        <v>7</v>
      </c>
      <c r="U19" s="1">
        <v>1</v>
      </c>
      <c r="V19" s="1">
        <v>130.54259999999999</v>
      </c>
      <c r="W19" s="1">
        <v>-6.87278426121757E-3</v>
      </c>
      <c r="X19" s="3" t="s">
        <v>174</v>
      </c>
      <c r="Y19" s="4">
        <v>40025</v>
      </c>
      <c r="Z19" s="9">
        <v>1.3046</v>
      </c>
      <c r="AA19" s="1">
        <v>2009</v>
      </c>
      <c r="AB19" s="1">
        <v>7</v>
      </c>
      <c r="AC19" s="1">
        <v>1</v>
      </c>
      <c r="AD19" s="3">
        <v>1.3046</v>
      </c>
      <c r="AE19" s="1">
        <v>0.19261358442270801</v>
      </c>
      <c r="AF19" s="1" t="s">
        <v>174</v>
      </c>
    </row>
    <row r="20" spans="1:32">
      <c r="A20" s="4">
        <v>40907</v>
      </c>
      <c r="B20" s="5">
        <v>2345.7420000000002</v>
      </c>
      <c r="C20" s="1">
        <v>2011</v>
      </c>
      <c r="D20" s="1">
        <v>12</v>
      </c>
      <c r="E20" s="1">
        <v>-11</v>
      </c>
      <c r="F20" s="3">
        <v>2345.7420000000002</v>
      </c>
      <c r="G20" s="3">
        <v>-6.9711126622037406E-2</v>
      </c>
      <c r="H20" s="3" t="s">
        <v>174</v>
      </c>
      <c r="I20" s="4">
        <v>40907</v>
      </c>
      <c r="J20" s="5">
        <v>305.3</v>
      </c>
      <c r="K20" s="1">
        <v>2011</v>
      </c>
      <c r="L20" s="1">
        <v>12</v>
      </c>
      <c r="M20" s="1">
        <v>-11</v>
      </c>
      <c r="N20" s="3">
        <v>305.3</v>
      </c>
      <c r="O20" s="3">
        <v>-2.7149321266968299E-2</v>
      </c>
      <c r="P20" s="3" t="s">
        <v>174</v>
      </c>
      <c r="Q20" s="4">
        <v>40907</v>
      </c>
      <c r="R20" s="5">
        <v>141.4383</v>
      </c>
      <c r="S20" s="1">
        <v>2011</v>
      </c>
      <c r="T20" s="1">
        <v>12</v>
      </c>
      <c r="U20" s="1">
        <v>-11</v>
      </c>
      <c r="V20" s="1">
        <v>141.4383</v>
      </c>
      <c r="W20" s="1">
        <v>1.10000471767569E-2</v>
      </c>
      <c r="X20" s="3" t="s">
        <v>174</v>
      </c>
      <c r="Y20" s="4">
        <v>40908</v>
      </c>
      <c r="Z20" s="9">
        <v>5.0109000000000004</v>
      </c>
      <c r="AA20" s="1">
        <v>2011</v>
      </c>
      <c r="AB20" s="1">
        <v>12</v>
      </c>
      <c r="AC20" s="1">
        <v>-11</v>
      </c>
      <c r="AD20" s="3">
        <v>5.0109000000000004</v>
      </c>
      <c r="AE20" s="1">
        <v>0.46005244755244801</v>
      </c>
      <c r="AF20" s="1" t="s">
        <v>174</v>
      </c>
    </row>
    <row r="21" spans="1:32">
      <c r="A21" s="4">
        <v>40939</v>
      </c>
      <c r="B21" s="5">
        <v>2464.2600000000002</v>
      </c>
      <c r="C21" s="1">
        <v>2012</v>
      </c>
      <c r="D21" s="1">
        <v>1</v>
      </c>
      <c r="E21" s="1">
        <v>1</v>
      </c>
      <c r="F21" s="3">
        <v>2464.2600000000002</v>
      </c>
      <c r="G21" s="3">
        <v>5.0524738014666601E-2</v>
      </c>
      <c r="H21" s="3" t="s">
        <v>174</v>
      </c>
      <c r="I21" s="4">
        <v>40939</v>
      </c>
      <c r="J21" s="5">
        <v>312.31</v>
      </c>
      <c r="K21" s="1">
        <v>2012</v>
      </c>
      <c r="L21" s="1">
        <v>1</v>
      </c>
      <c r="M21" s="1">
        <v>1</v>
      </c>
      <c r="N21" s="3">
        <v>312.31</v>
      </c>
      <c r="O21" s="3">
        <v>2.29610219456272E-2</v>
      </c>
      <c r="P21" s="3" t="s">
        <v>174</v>
      </c>
      <c r="Q21" s="4">
        <v>40939</v>
      </c>
      <c r="R21" s="5">
        <v>142.53139999999999</v>
      </c>
      <c r="S21" s="1">
        <v>2012</v>
      </c>
      <c r="T21" s="1">
        <v>1</v>
      </c>
      <c r="U21" s="1">
        <v>1</v>
      </c>
      <c r="V21" s="1">
        <v>142.53139999999999</v>
      </c>
      <c r="W21" s="1">
        <v>7.7284582747388303E-3</v>
      </c>
      <c r="X21" s="3" t="s">
        <v>174</v>
      </c>
      <c r="Y21" s="4">
        <v>40939</v>
      </c>
      <c r="Z21" s="9">
        <v>2.9653</v>
      </c>
      <c r="AA21" s="1">
        <v>2012</v>
      </c>
      <c r="AB21" s="1">
        <v>1</v>
      </c>
      <c r="AC21" s="1">
        <v>1</v>
      </c>
      <c r="AD21" s="3">
        <v>2.9653</v>
      </c>
      <c r="AE21" s="1">
        <v>-0.40823005847253002</v>
      </c>
      <c r="AF21" s="1" t="s">
        <v>174</v>
      </c>
    </row>
    <row r="22" spans="1:32">
      <c r="A22" s="4">
        <v>40968</v>
      </c>
      <c r="B22" s="5">
        <v>2634.143</v>
      </c>
      <c r="C22" s="1">
        <v>2012</v>
      </c>
      <c r="D22" s="1">
        <v>2</v>
      </c>
      <c r="E22" s="1">
        <v>1</v>
      </c>
      <c r="F22" s="3">
        <v>2634.143</v>
      </c>
      <c r="G22" s="3">
        <v>6.8938748346359505E-2</v>
      </c>
      <c r="H22" s="3" t="s">
        <v>174</v>
      </c>
      <c r="I22" s="4">
        <v>40968</v>
      </c>
      <c r="J22" s="5">
        <v>322.43</v>
      </c>
      <c r="K22" s="1">
        <v>2012</v>
      </c>
      <c r="L22" s="1">
        <v>2</v>
      </c>
      <c r="M22" s="1">
        <v>1</v>
      </c>
      <c r="N22" s="3">
        <v>322.43</v>
      </c>
      <c r="O22" s="3">
        <v>3.2403701450481902E-2</v>
      </c>
      <c r="P22" s="3" t="s">
        <v>174</v>
      </c>
      <c r="Q22" s="4">
        <v>40968</v>
      </c>
      <c r="R22" s="5">
        <v>142.17660000000001</v>
      </c>
      <c r="S22" s="1">
        <v>2012</v>
      </c>
      <c r="T22" s="1">
        <v>2</v>
      </c>
      <c r="U22" s="1">
        <v>1</v>
      </c>
      <c r="V22" s="1">
        <v>142.17660000000001</v>
      </c>
      <c r="W22" s="1">
        <v>-2.4892760472428098E-3</v>
      </c>
      <c r="X22" s="3" t="s">
        <v>174</v>
      </c>
      <c r="Y22" s="4">
        <v>40968</v>
      </c>
      <c r="Z22" s="9">
        <v>2.6038000000000001</v>
      </c>
      <c r="AA22" s="1">
        <v>2012</v>
      </c>
      <c r="AB22" s="1">
        <v>2</v>
      </c>
      <c r="AC22" s="1">
        <v>1</v>
      </c>
      <c r="AD22" s="3">
        <v>2.6038000000000001</v>
      </c>
      <c r="AE22" s="1">
        <v>-0.12191009341382</v>
      </c>
      <c r="AF22" s="1" t="s">
        <v>174</v>
      </c>
    </row>
    <row r="23" spans="1:32">
      <c r="A23" s="4">
        <v>40998</v>
      </c>
      <c r="B23" s="5">
        <v>2454.8989999999999</v>
      </c>
      <c r="C23" s="1">
        <v>2012</v>
      </c>
      <c r="D23" s="1">
        <v>3</v>
      </c>
      <c r="E23" s="1">
        <v>1</v>
      </c>
      <c r="F23" s="3">
        <v>2454.8989999999999</v>
      </c>
      <c r="G23" s="3">
        <v>-6.80464196514768E-2</v>
      </c>
      <c r="H23" s="3" t="s">
        <v>174</v>
      </c>
      <c r="I23" s="4">
        <v>40998</v>
      </c>
      <c r="J23" s="5">
        <v>308.45999999999998</v>
      </c>
      <c r="K23" s="1">
        <v>2012</v>
      </c>
      <c r="L23" s="1">
        <v>3</v>
      </c>
      <c r="M23" s="1">
        <v>1</v>
      </c>
      <c r="N23" s="3">
        <v>308.45999999999998</v>
      </c>
      <c r="O23" s="3">
        <v>-4.33272338181932E-2</v>
      </c>
      <c r="P23" s="3" t="s">
        <v>174</v>
      </c>
      <c r="Q23" s="4">
        <v>40998</v>
      </c>
      <c r="R23" s="5">
        <v>142.66309999999999</v>
      </c>
      <c r="S23" s="1">
        <v>2012</v>
      </c>
      <c r="T23" s="1">
        <v>3</v>
      </c>
      <c r="U23" s="1">
        <v>1</v>
      </c>
      <c r="V23" s="1">
        <v>142.66309999999999</v>
      </c>
      <c r="W23" s="1">
        <v>3.4218007745295499E-3</v>
      </c>
      <c r="X23" s="3" t="s">
        <v>174</v>
      </c>
      <c r="Y23" s="4">
        <v>40999</v>
      </c>
      <c r="Z23" s="9">
        <v>2.6772999999999998</v>
      </c>
      <c r="AA23" s="1">
        <v>2012</v>
      </c>
      <c r="AB23" s="1">
        <v>3</v>
      </c>
      <c r="AC23" s="1">
        <v>1</v>
      </c>
      <c r="AD23" s="3">
        <v>2.6772999999999998</v>
      </c>
      <c r="AE23" s="1">
        <v>2.8227974498809299E-2</v>
      </c>
      <c r="AF23" s="1" t="s">
        <v>174</v>
      </c>
    </row>
    <row r="24" spans="1:32">
      <c r="A24" s="4">
        <v>41026</v>
      </c>
      <c r="B24" s="5">
        <v>2626.1570000000002</v>
      </c>
      <c r="C24" s="1">
        <v>2012</v>
      </c>
      <c r="D24" s="1">
        <v>4</v>
      </c>
      <c r="E24" s="1">
        <v>1</v>
      </c>
      <c r="F24" s="3">
        <v>2626.1570000000002</v>
      </c>
      <c r="G24" s="3">
        <v>6.9761729504961401E-2</v>
      </c>
      <c r="H24" s="3" t="s">
        <v>174</v>
      </c>
      <c r="I24" s="4">
        <v>41026</v>
      </c>
      <c r="J24" s="5">
        <v>305.51</v>
      </c>
      <c r="K24" s="1">
        <v>2012</v>
      </c>
      <c r="L24" s="1">
        <v>4</v>
      </c>
      <c r="M24" s="1">
        <v>1</v>
      </c>
      <c r="N24" s="3">
        <v>305.51</v>
      </c>
      <c r="O24" s="3">
        <v>-9.5636387213900893E-3</v>
      </c>
      <c r="P24" s="3" t="s">
        <v>174</v>
      </c>
      <c r="Q24" s="4">
        <v>41026</v>
      </c>
      <c r="R24" s="5">
        <v>142.9648</v>
      </c>
      <c r="S24" s="1">
        <v>2012</v>
      </c>
      <c r="T24" s="1">
        <v>4</v>
      </c>
      <c r="U24" s="1">
        <v>1</v>
      </c>
      <c r="V24" s="1">
        <v>142.9648</v>
      </c>
      <c r="W24" s="1">
        <v>2.1147724954806899E-3</v>
      </c>
      <c r="X24" s="3" t="s">
        <v>174</v>
      </c>
      <c r="Y24" s="4">
        <v>41027</v>
      </c>
      <c r="Z24" s="9">
        <v>2.8035000000000001</v>
      </c>
      <c r="AA24" s="1">
        <v>2012</v>
      </c>
      <c r="AB24" s="1">
        <v>4</v>
      </c>
      <c r="AC24" s="1">
        <v>1</v>
      </c>
      <c r="AD24" s="3">
        <v>2.8035000000000001</v>
      </c>
      <c r="AE24" s="1">
        <v>4.7137041048818003E-2</v>
      </c>
      <c r="AF24" s="1" t="s">
        <v>174</v>
      </c>
    </row>
    <row r="25" spans="1:32">
      <c r="A25" s="4">
        <v>41060</v>
      </c>
      <c r="B25" s="5">
        <v>2632.0419999999999</v>
      </c>
      <c r="C25" s="1">
        <v>2012</v>
      </c>
      <c r="D25" s="1">
        <v>5</v>
      </c>
      <c r="E25" s="1">
        <v>1</v>
      </c>
      <c r="F25" s="3">
        <v>2632.0419999999999</v>
      </c>
      <c r="G25" s="3">
        <v>2.2409170510368399E-3</v>
      </c>
      <c r="H25" s="3" t="s">
        <v>174</v>
      </c>
      <c r="I25" s="4">
        <v>41060</v>
      </c>
      <c r="J25" s="5">
        <v>272.97000000000003</v>
      </c>
      <c r="K25" s="1">
        <v>2012</v>
      </c>
      <c r="L25" s="1">
        <v>5</v>
      </c>
      <c r="M25" s="1">
        <v>1</v>
      </c>
      <c r="N25" s="3">
        <v>272.97000000000003</v>
      </c>
      <c r="O25" s="3">
        <v>-0.106510425190665</v>
      </c>
      <c r="P25" s="3" t="s">
        <v>174</v>
      </c>
      <c r="Q25" s="4">
        <v>41060</v>
      </c>
      <c r="R25" s="5">
        <v>145.23929999999999</v>
      </c>
      <c r="S25" s="1">
        <v>2012</v>
      </c>
      <c r="T25" s="1">
        <v>5</v>
      </c>
      <c r="U25" s="1">
        <v>1</v>
      </c>
      <c r="V25" s="1">
        <v>145.23929999999999</v>
      </c>
      <c r="W25" s="1">
        <v>1.59095105928172E-2</v>
      </c>
      <c r="X25" s="3" t="s">
        <v>174</v>
      </c>
      <c r="Y25" s="4">
        <v>41060</v>
      </c>
      <c r="Z25" s="9">
        <v>1.8842000000000001</v>
      </c>
      <c r="AA25" s="1">
        <v>2012</v>
      </c>
      <c r="AB25" s="1">
        <v>5</v>
      </c>
      <c r="AC25" s="1">
        <v>1</v>
      </c>
      <c r="AD25" s="3">
        <v>1.8842000000000001</v>
      </c>
      <c r="AE25" s="1">
        <v>-0.32791153914749399</v>
      </c>
      <c r="AF25" s="1" t="s">
        <v>174</v>
      </c>
    </row>
    <row r="26" spans="1:32">
      <c r="A26" s="4">
        <v>41089</v>
      </c>
      <c r="B26" s="5">
        <v>2461.6120000000001</v>
      </c>
      <c r="C26" s="1">
        <v>2012</v>
      </c>
      <c r="D26" s="1">
        <v>6</v>
      </c>
      <c r="E26" s="1">
        <v>1</v>
      </c>
      <c r="F26" s="3">
        <v>2461.6120000000001</v>
      </c>
      <c r="G26" s="3">
        <v>-6.4752006236982504E-2</v>
      </c>
      <c r="H26" s="3" t="s">
        <v>174</v>
      </c>
      <c r="I26" s="4">
        <v>41089</v>
      </c>
      <c r="J26" s="5">
        <v>284.19</v>
      </c>
      <c r="K26" s="1">
        <v>2012</v>
      </c>
      <c r="L26" s="1">
        <v>6</v>
      </c>
      <c r="M26" s="1">
        <v>1</v>
      </c>
      <c r="N26" s="3">
        <v>284.19</v>
      </c>
      <c r="O26" s="3">
        <v>4.1103417958017301E-2</v>
      </c>
      <c r="P26" s="3" t="s">
        <v>174</v>
      </c>
      <c r="Q26" s="4">
        <v>41089</v>
      </c>
      <c r="R26" s="5">
        <v>145.72980000000001</v>
      </c>
      <c r="S26" s="1">
        <v>2012</v>
      </c>
      <c r="T26" s="1">
        <v>6</v>
      </c>
      <c r="U26" s="1">
        <v>1</v>
      </c>
      <c r="V26" s="1">
        <v>145.72980000000001</v>
      </c>
      <c r="W26" s="1">
        <v>3.37718510072705E-3</v>
      </c>
      <c r="X26" s="3" t="s">
        <v>174</v>
      </c>
      <c r="Y26" s="4">
        <v>41089</v>
      </c>
      <c r="Z26" s="9">
        <v>3.6099000000000001</v>
      </c>
      <c r="AA26" s="1">
        <v>2012</v>
      </c>
      <c r="AB26" s="1">
        <v>6</v>
      </c>
      <c r="AC26" s="1">
        <v>1</v>
      </c>
      <c r="AD26" s="3">
        <v>3.6099000000000001</v>
      </c>
      <c r="AE26" s="1">
        <v>0.91587941832077302</v>
      </c>
      <c r="AF26" s="1" t="s">
        <v>174</v>
      </c>
    </row>
    <row r="27" spans="1:32">
      <c r="A27" s="4">
        <v>41121</v>
      </c>
      <c r="B27" s="5">
        <v>2332.922</v>
      </c>
      <c r="C27" s="1">
        <v>2012</v>
      </c>
      <c r="D27" s="1">
        <v>7</v>
      </c>
      <c r="E27" s="1">
        <v>1</v>
      </c>
      <c r="F27" s="3">
        <v>2332.922</v>
      </c>
      <c r="G27" s="3">
        <v>-5.2278750672323702E-2</v>
      </c>
      <c r="H27" s="3" t="s">
        <v>174</v>
      </c>
      <c r="I27" s="4">
        <v>41121</v>
      </c>
      <c r="J27" s="5">
        <v>299.51</v>
      </c>
      <c r="K27" s="1">
        <v>2012</v>
      </c>
      <c r="L27" s="1">
        <v>7</v>
      </c>
      <c r="M27" s="1">
        <v>1</v>
      </c>
      <c r="N27" s="3">
        <v>299.51</v>
      </c>
      <c r="O27" s="3">
        <v>5.39075970301559E-2</v>
      </c>
      <c r="P27" s="3" t="s">
        <v>174</v>
      </c>
      <c r="Q27" s="4">
        <v>41121</v>
      </c>
      <c r="R27" s="5">
        <v>146.21459999999999</v>
      </c>
      <c r="S27" s="1">
        <v>2012</v>
      </c>
      <c r="T27" s="1">
        <v>7</v>
      </c>
      <c r="U27" s="1">
        <v>1</v>
      </c>
      <c r="V27" s="1">
        <v>146.21459999999999</v>
      </c>
      <c r="W27" s="1">
        <v>3.3267046273307102E-3</v>
      </c>
      <c r="X27" s="3" t="s">
        <v>174</v>
      </c>
      <c r="Y27" s="4">
        <v>41121</v>
      </c>
      <c r="Z27" s="9">
        <v>2.6067999999999998</v>
      </c>
      <c r="AA27" s="1">
        <v>2012</v>
      </c>
      <c r="AB27" s="1">
        <v>7</v>
      </c>
      <c r="AC27" s="1">
        <v>1</v>
      </c>
      <c r="AD27" s="3">
        <v>2.6067999999999998</v>
      </c>
      <c r="AE27" s="1">
        <v>-0.27787473337211599</v>
      </c>
      <c r="AF27" s="1" t="s">
        <v>174</v>
      </c>
    </row>
    <row r="28" spans="1:32">
      <c r="A28" s="4">
        <v>41152</v>
      </c>
      <c r="B28" s="5">
        <v>2204.8679999999999</v>
      </c>
      <c r="C28" s="1">
        <v>2012</v>
      </c>
      <c r="D28" s="1">
        <v>8</v>
      </c>
      <c r="E28" s="1">
        <v>1</v>
      </c>
      <c r="F28" s="3">
        <v>2204.8679999999999</v>
      </c>
      <c r="G28" s="3">
        <v>-5.48899620304494E-2</v>
      </c>
      <c r="H28" s="3" t="s">
        <v>174</v>
      </c>
      <c r="I28" s="4">
        <v>41152</v>
      </c>
      <c r="J28" s="5">
        <v>309.58999999999997</v>
      </c>
      <c r="K28" s="1">
        <v>2012</v>
      </c>
      <c r="L28" s="1">
        <v>8</v>
      </c>
      <c r="M28" s="1">
        <v>1</v>
      </c>
      <c r="N28" s="3">
        <v>309.58999999999997</v>
      </c>
      <c r="O28" s="3">
        <v>3.3654969783980401E-2</v>
      </c>
      <c r="P28" s="3" t="s">
        <v>174</v>
      </c>
      <c r="Q28" s="4">
        <v>41152</v>
      </c>
      <c r="R28" s="5">
        <v>145.601</v>
      </c>
      <c r="S28" s="1">
        <v>2012</v>
      </c>
      <c r="T28" s="1">
        <v>8</v>
      </c>
      <c r="U28" s="1">
        <v>1</v>
      </c>
      <c r="V28" s="1">
        <v>145.601</v>
      </c>
      <c r="W28" s="1">
        <v>-4.1965713410288099E-3</v>
      </c>
      <c r="X28" s="3" t="s">
        <v>174</v>
      </c>
      <c r="Y28" s="4">
        <v>41152</v>
      </c>
      <c r="Z28" s="9">
        <v>2.0709</v>
      </c>
      <c r="AA28" s="1">
        <v>2012</v>
      </c>
      <c r="AB28" s="1">
        <v>8</v>
      </c>
      <c r="AC28" s="1">
        <v>1</v>
      </c>
      <c r="AD28" s="3">
        <v>2.0709</v>
      </c>
      <c r="AE28" s="1">
        <v>-0.205577719809728</v>
      </c>
      <c r="AF28" s="1" t="s">
        <v>174</v>
      </c>
    </row>
    <row r="29" spans="1:32">
      <c r="A29" s="4">
        <v>41180</v>
      </c>
      <c r="B29" s="5">
        <v>2293.1060000000002</v>
      </c>
      <c r="C29" s="1">
        <v>2012</v>
      </c>
      <c r="D29" s="1">
        <v>9</v>
      </c>
      <c r="E29" s="1">
        <v>1</v>
      </c>
      <c r="F29" s="3">
        <v>2293.1060000000002</v>
      </c>
      <c r="G29" s="3">
        <v>4.0019629293000902E-2</v>
      </c>
      <c r="H29" s="3" t="s">
        <v>174</v>
      </c>
      <c r="I29" s="4">
        <v>41180</v>
      </c>
      <c r="J29" s="5">
        <v>309.3</v>
      </c>
      <c r="K29" s="1">
        <v>2012</v>
      </c>
      <c r="L29" s="1">
        <v>9</v>
      </c>
      <c r="M29" s="1">
        <v>1</v>
      </c>
      <c r="N29" s="3">
        <v>309.3</v>
      </c>
      <c r="O29" s="3">
        <v>-9.3672276236300798E-4</v>
      </c>
      <c r="P29" s="3" t="s">
        <v>174</v>
      </c>
      <c r="Q29" s="4">
        <v>41180</v>
      </c>
      <c r="R29" s="5">
        <v>145.489</v>
      </c>
      <c r="S29" s="1">
        <v>2012</v>
      </c>
      <c r="T29" s="1">
        <v>9</v>
      </c>
      <c r="U29" s="1">
        <v>1</v>
      </c>
      <c r="V29" s="1">
        <v>145.489</v>
      </c>
      <c r="W29" s="1">
        <v>-7.6922548608865805E-4</v>
      </c>
      <c r="X29" s="3" t="s">
        <v>174</v>
      </c>
      <c r="Y29" s="4">
        <v>41181</v>
      </c>
      <c r="Z29" s="9">
        <v>3.3812000000000002</v>
      </c>
      <c r="AA29" s="1">
        <v>2012</v>
      </c>
      <c r="AB29" s="1">
        <v>9</v>
      </c>
      <c r="AC29" s="1">
        <v>1</v>
      </c>
      <c r="AD29" s="3">
        <v>3.3812000000000002</v>
      </c>
      <c r="AE29" s="1">
        <v>0.63272007339804004</v>
      </c>
      <c r="AF29" s="1" t="s">
        <v>174</v>
      </c>
    </row>
    <row r="30" spans="1:32">
      <c r="A30" s="4">
        <v>41213</v>
      </c>
      <c r="B30" s="5">
        <v>2254.8200000000002</v>
      </c>
      <c r="C30" s="1">
        <v>2012</v>
      </c>
      <c r="D30" s="1">
        <v>10</v>
      </c>
      <c r="E30" s="1">
        <v>1</v>
      </c>
      <c r="F30" s="3">
        <v>2254.8200000000002</v>
      </c>
      <c r="G30" s="3">
        <v>-1.6696131796785699E-2</v>
      </c>
      <c r="H30" s="3" t="s">
        <v>174</v>
      </c>
      <c r="I30" s="4">
        <v>41213</v>
      </c>
      <c r="J30" s="5">
        <v>295.85000000000002</v>
      </c>
      <c r="K30" s="1">
        <v>2012</v>
      </c>
      <c r="L30" s="1">
        <v>10</v>
      </c>
      <c r="M30" s="1">
        <v>1</v>
      </c>
      <c r="N30" s="3">
        <v>295.85000000000002</v>
      </c>
      <c r="O30" s="3">
        <v>-4.3485289363077897E-2</v>
      </c>
      <c r="P30" s="3" t="s">
        <v>174</v>
      </c>
      <c r="Q30" s="4">
        <v>41213</v>
      </c>
      <c r="R30" s="5">
        <v>145.77600000000001</v>
      </c>
      <c r="S30" s="1">
        <v>2012</v>
      </c>
      <c r="T30" s="1">
        <v>10</v>
      </c>
      <c r="U30" s="1">
        <v>1</v>
      </c>
      <c r="V30" s="1">
        <v>145.77600000000001</v>
      </c>
      <c r="W30" s="1">
        <v>1.9726577267010301E-3</v>
      </c>
      <c r="X30" s="3" t="s">
        <v>174</v>
      </c>
      <c r="Y30" s="4">
        <v>41213</v>
      </c>
      <c r="Z30" s="9">
        <v>2.9535</v>
      </c>
      <c r="AA30" s="1">
        <v>2012</v>
      </c>
      <c r="AB30" s="1">
        <v>10</v>
      </c>
      <c r="AC30" s="1">
        <v>1</v>
      </c>
      <c r="AD30" s="3">
        <v>2.9535</v>
      </c>
      <c r="AE30" s="1">
        <v>-0.12649355258488101</v>
      </c>
      <c r="AF30" s="1" t="s">
        <v>174</v>
      </c>
    </row>
    <row r="31" spans="1:32">
      <c r="A31" s="4">
        <v>41243</v>
      </c>
      <c r="B31" s="5">
        <v>2139.6610000000001</v>
      </c>
      <c r="C31" s="1">
        <v>2012</v>
      </c>
      <c r="D31" s="1">
        <v>11</v>
      </c>
      <c r="E31" s="1">
        <v>1</v>
      </c>
      <c r="F31" s="3">
        <v>2139.6610000000001</v>
      </c>
      <c r="G31" s="3">
        <v>-5.1072369413079598E-2</v>
      </c>
      <c r="H31" s="3" t="s">
        <v>174</v>
      </c>
      <c r="I31" s="4">
        <v>41243</v>
      </c>
      <c r="J31" s="5">
        <v>298.98</v>
      </c>
      <c r="K31" s="1">
        <v>2012</v>
      </c>
      <c r="L31" s="1">
        <v>11</v>
      </c>
      <c r="M31" s="1">
        <v>1</v>
      </c>
      <c r="N31" s="3">
        <v>298.98</v>
      </c>
      <c r="O31" s="3">
        <v>1.0579685651512599E-2</v>
      </c>
      <c r="P31" s="3" t="s">
        <v>174</v>
      </c>
      <c r="Q31" s="4">
        <v>41243</v>
      </c>
      <c r="R31" s="5">
        <v>146.22669999999999</v>
      </c>
      <c r="S31" s="1">
        <v>2012</v>
      </c>
      <c r="T31" s="1">
        <v>11</v>
      </c>
      <c r="U31" s="1">
        <v>1</v>
      </c>
      <c r="V31" s="1">
        <v>146.22669999999999</v>
      </c>
      <c r="W31" s="1">
        <v>3.0917297771922898E-3</v>
      </c>
      <c r="X31" s="3" t="s">
        <v>174</v>
      </c>
      <c r="Y31" s="4">
        <v>41243</v>
      </c>
      <c r="Z31" s="9">
        <v>2.2608999999999999</v>
      </c>
      <c r="AA31" s="1">
        <v>2012</v>
      </c>
      <c r="AB31" s="1">
        <v>11</v>
      </c>
      <c r="AC31" s="1">
        <v>1</v>
      </c>
      <c r="AD31" s="3">
        <v>2.2608999999999999</v>
      </c>
      <c r="AE31" s="1">
        <v>-0.23450143897071299</v>
      </c>
      <c r="AF31" s="1" t="s">
        <v>174</v>
      </c>
    </row>
    <row r="32" spans="1:32">
      <c r="A32" s="4">
        <v>41274</v>
      </c>
      <c r="B32" s="5">
        <v>2522.9520000000002</v>
      </c>
      <c r="C32" s="1">
        <v>2012</v>
      </c>
      <c r="D32" s="1">
        <v>12</v>
      </c>
      <c r="E32" s="1">
        <v>-11</v>
      </c>
      <c r="F32" s="3">
        <v>2522.9520000000002</v>
      </c>
      <c r="G32" s="3">
        <v>0.17913632112750599</v>
      </c>
      <c r="H32" s="3" t="s">
        <v>174</v>
      </c>
      <c r="I32" s="4">
        <v>41274</v>
      </c>
      <c r="J32" s="5">
        <v>295.01</v>
      </c>
      <c r="K32" s="1">
        <v>2012</v>
      </c>
      <c r="L32" s="1">
        <v>12</v>
      </c>
      <c r="M32" s="1">
        <v>-11</v>
      </c>
      <c r="N32" s="3">
        <v>295.01</v>
      </c>
      <c r="O32" s="3">
        <v>-1.3278480165897499E-2</v>
      </c>
      <c r="P32" s="3" t="s">
        <v>174</v>
      </c>
      <c r="Q32" s="4">
        <v>41274</v>
      </c>
      <c r="R32" s="5">
        <v>146.57910000000001</v>
      </c>
      <c r="S32" s="1">
        <v>2012</v>
      </c>
      <c r="T32" s="1">
        <v>12</v>
      </c>
      <c r="U32" s="1">
        <v>-11</v>
      </c>
      <c r="V32" s="1">
        <v>146.57910000000001</v>
      </c>
      <c r="W32" s="1">
        <v>2.40995659479436E-3</v>
      </c>
      <c r="X32" s="3" t="s">
        <v>174</v>
      </c>
      <c r="Y32" s="4">
        <v>41274</v>
      </c>
      <c r="Z32" s="9">
        <v>3.8614999999999999</v>
      </c>
      <c r="AA32" s="1">
        <v>2012</v>
      </c>
      <c r="AB32" s="1">
        <v>12</v>
      </c>
      <c r="AC32" s="1">
        <v>-11</v>
      </c>
      <c r="AD32" s="3">
        <v>3.8614999999999999</v>
      </c>
      <c r="AE32" s="1">
        <v>0.70794816223627799</v>
      </c>
      <c r="AF32" s="1" t="s">
        <v>174</v>
      </c>
    </row>
    <row r="33" spans="1:32">
      <c r="A33" s="4">
        <v>41305</v>
      </c>
      <c r="B33" s="5">
        <v>2686.8820000000001</v>
      </c>
      <c r="C33" s="1">
        <v>2013</v>
      </c>
      <c r="D33" s="1">
        <v>1</v>
      </c>
      <c r="E33" s="1">
        <v>1</v>
      </c>
      <c r="F33" s="3">
        <v>2686.8820000000001</v>
      </c>
      <c r="G33" s="3">
        <v>6.4975473175866896E-2</v>
      </c>
      <c r="H33" s="3" t="s">
        <v>174</v>
      </c>
      <c r="I33" s="4">
        <v>41305</v>
      </c>
      <c r="J33" s="5">
        <v>303.99</v>
      </c>
      <c r="K33" s="1">
        <v>2013</v>
      </c>
      <c r="L33" s="1">
        <v>1</v>
      </c>
      <c r="M33" s="1">
        <v>1</v>
      </c>
      <c r="N33" s="3">
        <v>303.99</v>
      </c>
      <c r="O33" s="3">
        <v>3.0439646113691099E-2</v>
      </c>
      <c r="P33" s="3" t="s">
        <v>174</v>
      </c>
      <c r="Q33" s="4">
        <v>41305</v>
      </c>
      <c r="R33" s="5">
        <v>147.38239999999999</v>
      </c>
      <c r="S33" s="1">
        <v>2013</v>
      </c>
      <c r="T33" s="1">
        <v>1</v>
      </c>
      <c r="U33" s="1">
        <v>1</v>
      </c>
      <c r="V33" s="1">
        <v>147.38239999999999</v>
      </c>
      <c r="W33" s="1">
        <v>5.4803174531701899E-3</v>
      </c>
      <c r="X33" s="3" t="s">
        <v>174</v>
      </c>
      <c r="Y33" s="4">
        <v>41305</v>
      </c>
      <c r="Z33" s="9">
        <v>2.3170999999999999</v>
      </c>
      <c r="AA33" s="1">
        <v>2013</v>
      </c>
      <c r="AB33" s="1">
        <v>1</v>
      </c>
      <c r="AC33" s="1">
        <v>1</v>
      </c>
      <c r="AD33" s="3">
        <v>2.3170999999999999</v>
      </c>
      <c r="AE33" s="1">
        <v>-0.399948206655445</v>
      </c>
      <c r="AF33" s="1" t="s">
        <v>174</v>
      </c>
    </row>
    <row r="34" spans="1:32">
      <c r="A34" s="4">
        <v>41333</v>
      </c>
      <c r="B34" s="5">
        <v>2673.3270000000002</v>
      </c>
      <c r="C34" s="1">
        <v>2013</v>
      </c>
      <c r="D34" s="1">
        <v>2</v>
      </c>
      <c r="E34" s="1">
        <v>1</v>
      </c>
      <c r="F34" s="3">
        <v>2673.3270000000002</v>
      </c>
      <c r="G34" s="3">
        <v>-5.0448810182210603E-3</v>
      </c>
      <c r="H34" s="3" t="s">
        <v>174</v>
      </c>
      <c r="I34" s="4">
        <v>41333</v>
      </c>
      <c r="J34" s="5">
        <v>292.95</v>
      </c>
      <c r="K34" s="1">
        <v>2013</v>
      </c>
      <c r="L34" s="1">
        <v>2</v>
      </c>
      <c r="M34" s="1">
        <v>1</v>
      </c>
      <c r="N34" s="3">
        <v>292.95</v>
      </c>
      <c r="O34" s="3">
        <v>-3.6316984111319499E-2</v>
      </c>
      <c r="P34" s="3" t="s">
        <v>174</v>
      </c>
      <c r="Q34" s="4">
        <v>41333</v>
      </c>
      <c r="R34" s="5">
        <v>148.11600000000001</v>
      </c>
      <c r="S34" s="1">
        <v>2013</v>
      </c>
      <c r="T34" s="1">
        <v>2</v>
      </c>
      <c r="U34" s="1">
        <v>1</v>
      </c>
      <c r="V34" s="1">
        <v>148.11600000000001</v>
      </c>
      <c r="W34" s="1">
        <v>4.9775278459302102E-3</v>
      </c>
      <c r="X34" s="3" t="s">
        <v>174</v>
      </c>
      <c r="Y34" s="4">
        <v>41333</v>
      </c>
      <c r="Z34" s="9">
        <v>4.0590000000000002</v>
      </c>
      <c r="AA34" s="1">
        <v>2013</v>
      </c>
      <c r="AB34" s="1">
        <v>2</v>
      </c>
      <c r="AC34" s="1">
        <v>1</v>
      </c>
      <c r="AD34" s="3">
        <v>4.0590000000000002</v>
      </c>
      <c r="AE34" s="1">
        <v>0.75175866384705003</v>
      </c>
      <c r="AF34" s="1" t="s">
        <v>174</v>
      </c>
    </row>
    <row r="35" spans="1:32">
      <c r="A35" s="4">
        <v>41362</v>
      </c>
      <c r="B35" s="5">
        <v>2495.0830000000001</v>
      </c>
      <c r="C35" s="1">
        <v>2013</v>
      </c>
      <c r="D35" s="1">
        <v>3</v>
      </c>
      <c r="E35" s="1">
        <v>1</v>
      </c>
      <c r="F35" s="3">
        <v>2495.0830000000001</v>
      </c>
      <c r="G35" s="3">
        <v>-6.6674970925741595E-2</v>
      </c>
      <c r="H35" s="3" t="s">
        <v>174</v>
      </c>
      <c r="I35" s="4">
        <v>41361</v>
      </c>
      <c r="J35" s="5">
        <v>296.39</v>
      </c>
      <c r="K35" s="1">
        <v>2013</v>
      </c>
      <c r="L35" s="1">
        <v>3</v>
      </c>
      <c r="M35" s="1">
        <v>1</v>
      </c>
      <c r="N35" s="3">
        <v>296.39</v>
      </c>
      <c r="O35" s="3">
        <v>1.17426181942311E-2</v>
      </c>
      <c r="P35" s="3" t="s">
        <v>174</v>
      </c>
      <c r="Q35" s="4">
        <v>41362</v>
      </c>
      <c r="R35" s="5">
        <v>148.63310000000001</v>
      </c>
      <c r="S35" s="1">
        <v>2013</v>
      </c>
      <c r="T35" s="1">
        <v>3</v>
      </c>
      <c r="U35" s="1">
        <v>1</v>
      </c>
      <c r="V35" s="1">
        <v>148.63310000000001</v>
      </c>
      <c r="W35" s="1">
        <v>3.49118258662129E-3</v>
      </c>
      <c r="X35" s="3" t="s">
        <v>174</v>
      </c>
      <c r="Y35" s="4">
        <v>41362</v>
      </c>
      <c r="Z35" s="9">
        <v>2.7061999999999999</v>
      </c>
      <c r="AA35" s="1">
        <v>2013</v>
      </c>
      <c r="AB35" s="1">
        <v>3</v>
      </c>
      <c r="AC35" s="1">
        <v>1</v>
      </c>
      <c r="AD35" s="3">
        <v>2.7061999999999999</v>
      </c>
      <c r="AE35" s="1">
        <v>-0.33328406011332801</v>
      </c>
      <c r="AF35" s="1" t="s">
        <v>174</v>
      </c>
    </row>
    <row r="36" spans="1:32">
      <c r="A36" s="4">
        <v>41390</v>
      </c>
      <c r="B36" s="5">
        <v>2447.306</v>
      </c>
      <c r="C36" s="1">
        <v>2013</v>
      </c>
      <c r="D36" s="1">
        <v>4</v>
      </c>
      <c r="E36" s="1">
        <v>1</v>
      </c>
      <c r="F36" s="3">
        <v>2447.306</v>
      </c>
      <c r="G36" s="3">
        <v>-1.91484611934753E-2</v>
      </c>
      <c r="H36" s="3" t="s">
        <v>174</v>
      </c>
      <c r="I36" s="4">
        <v>41390</v>
      </c>
      <c r="J36" s="5">
        <v>285.39999999999998</v>
      </c>
      <c r="K36" s="1">
        <v>2013</v>
      </c>
      <c r="L36" s="1">
        <v>4</v>
      </c>
      <c r="M36" s="1">
        <v>1</v>
      </c>
      <c r="N36" s="3">
        <v>285.39999999999998</v>
      </c>
      <c r="O36" s="3">
        <v>-3.7079523600661302E-2</v>
      </c>
      <c r="P36" s="3" t="s">
        <v>174</v>
      </c>
      <c r="Q36" s="4">
        <v>41390</v>
      </c>
      <c r="R36" s="5">
        <v>149.57429999999999</v>
      </c>
      <c r="S36" s="1">
        <v>2013</v>
      </c>
      <c r="T36" s="1">
        <v>4</v>
      </c>
      <c r="U36" s="1">
        <v>1</v>
      </c>
      <c r="V36" s="1">
        <v>149.57429999999999</v>
      </c>
      <c r="W36" s="1">
        <v>6.3323714569633602E-3</v>
      </c>
      <c r="X36" s="3" t="s">
        <v>174</v>
      </c>
      <c r="Y36" s="4">
        <v>41392</v>
      </c>
      <c r="Z36" s="9">
        <v>2.8027000000000002</v>
      </c>
      <c r="AA36" s="1">
        <v>2013</v>
      </c>
      <c r="AB36" s="1">
        <v>4</v>
      </c>
      <c r="AC36" s="1">
        <v>1</v>
      </c>
      <c r="AD36" s="3">
        <v>2.8027000000000002</v>
      </c>
      <c r="AE36" s="1">
        <v>3.5658857438474703E-2</v>
      </c>
      <c r="AF36" s="1" t="s">
        <v>174</v>
      </c>
    </row>
    <row r="37" spans="1:32">
      <c r="A37" s="4">
        <v>41425</v>
      </c>
      <c r="B37" s="5">
        <v>2606.4259999999999</v>
      </c>
      <c r="C37" s="1">
        <v>2013</v>
      </c>
      <c r="D37" s="1">
        <v>5</v>
      </c>
      <c r="E37" s="1">
        <v>1</v>
      </c>
      <c r="F37" s="3">
        <v>2606.4259999999999</v>
      </c>
      <c r="G37" s="3">
        <v>6.5018432513138893E-2</v>
      </c>
      <c r="H37" s="3" t="s">
        <v>174</v>
      </c>
      <c r="I37" s="4">
        <v>41425</v>
      </c>
      <c r="J37" s="5">
        <v>281.85000000000002</v>
      </c>
      <c r="K37" s="1">
        <v>2013</v>
      </c>
      <c r="L37" s="1">
        <v>5</v>
      </c>
      <c r="M37" s="1">
        <v>1</v>
      </c>
      <c r="N37" s="3">
        <v>281.85000000000002</v>
      </c>
      <c r="O37" s="3">
        <v>-1.2438682550805699E-2</v>
      </c>
      <c r="P37" s="3" t="s">
        <v>174</v>
      </c>
      <c r="Q37" s="4">
        <v>41425</v>
      </c>
      <c r="R37" s="5">
        <v>150.4796</v>
      </c>
      <c r="S37" s="1">
        <v>2013</v>
      </c>
      <c r="T37" s="1">
        <v>5</v>
      </c>
      <c r="U37" s="1">
        <v>1</v>
      </c>
      <c r="V37" s="1">
        <v>150.4796</v>
      </c>
      <c r="W37" s="1">
        <v>6.0525103577286398E-3</v>
      </c>
      <c r="X37" s="3" t="s">
        <v>174</v>
      </c>
      <c r="Y37" s="4">
        <v>41425</v>
      </c>
      <c r="Z37" s="9">
        <v>4.5301</v>
      </c>
      <c r="AA37" s="1">
        <v>2013</v>
      </c>
      <c r="AB37" s="1">
        <v>5</v>
      </c>
      <c r="AC37" s="1">
        <v>1</v>
      </c>
      <c r="AD37" s="3">
        <v>4.5301</v>
      </c>
      <c r="AE37" s="1">
        <v>0.61633424911692303</v>
      </c>
      <c r="AF37" s="1" t="s">
        <v>174</v>
      </c>
    </row>
    <row r="38" spans="1:32">
      <c r="A38" s="4">
        <v>41453</v>
      </c>
      <c r="B38" s="5">
        <v>2200.6390000000001</v>
      </c>
      <c r="C38" s="1">
        <v>2013</v>
      </c>
      <c r="D38" s="1">
        <v>6</v>
      </c>
      <c r="E38" s="1">
        <v>1</v>
      </c>
      <c r="F38" s="3">
        <v>2200.6390000000001</v>
      </c>
      <c r="G38" s="3">
        <v>-0.15568713633151299</v>
      </c>
      <c r="H38" s="3" t="s">
        <v>174</v>
      </c>
      <c r="I38" s="4">
        <v>41453</v>
      </c>
      <c r="J38" s="5">
        <v>275.62</v>
      </c>
      <c r="K38" s="1">
        <v>2013</v>
      </c>
      <c r="L38" s="1">
        <v>6</v>
      </c>
      <c r="M38" s="1">
        <v>1</v>
      </c>
      <c r="N38" s="3">
        <v>275.62</v>
      </c>
      <c r="O38" s="3">
        <v>-2.2103956004967201E-2</v>
      </c>
      <c r="P38" s="3" t="s">
        <v>174</v>
      </c>
      <c r="Q38" s="4">
        <v>41453</v>
      </c>
      <c r="R38" s="5">
        <v>150.00839999999999</v>
      </c>
      <c r="S38" s="1">
        <v>2013</v>
      </c>
      <c r="T38" s="1">
        <v>6</v>
      </c>
      <c r="U38" s="1">
        <v>1</v>
      </c>
      <c r="V38" s="1">
        <v>150.00839999999999</v>
      </c>
      <c r="W38" s="1">
        <v>-3.1313214548683698E-3</v>
      </c>
      <c r="X38" s="3" t="s">
        <v>174</v>
      </c>
      <c r="Y38" s="4">
        <v>41453</v>
      </c>
      <c r="Z38" s="9">
        <v>4.9581</v>
      </c>
      <c r="AA38" s="1">
        <v>2013</v>
      </c>
      <c r="AB38" s="1">
        <v>6</v>
      </c>
      <c r="AC38" s="1">
        <v>1</v>
      </c>
      <c r="AD38" s="3">
        <v>4.9581</v>
      </c>
      <c r="AE38" s="1">
        <v>9.4479150570627599E-2</v>
      </c>
      <c r="AF38" s="1" t="s">
        <v>174</v>
      </c>
    </row>
    <row r="39" spans="1:32">
      <c r="A39" s="4">
        <v>41759</v>
      </c>
      <c r="B39" s="5">
        <v>2158.6590000000001</v>
      </c>
      <c r="C39" s="1">
        <v>2014</v>
      </c>
      <c r="D39" s="1">
        <v>4</v>
      </c>
      <c r="E39" s="1">
        <v>1</v>
      </c>
      <c r="F39" s="3">
        <v>2158.6590000000001</v>
      </c>
      <c r="G39" s="3">
        <v>5.7559386946404497E-3</v>
      </c>
      <c r="H39" s="3" t="s">
        <v>174</v>
      </c>
      <c r="I39" s="4">
        <v>41759</v>
      </c>
      <c r="J39" s="5">
        <v>309.52999999999997</v>
      </c>
      <c r="K39" s="1">
        <v>2014</v>
      </c>
      <c r="L39" s="1">
        <v>4</v>
      </c>
      <c r="M39" s="1">
        <v>1</v>
      </c>
      <c r="N39" s="3">
        <v>309.52999999999997</v>
      </c>
      <c r="O39" s="3">
        <v>1.5951685430137402E-2</v>
      </c>
      <c r="P39" s="3" t="s">
        <v>174</v>
      </c>
      <c r="Q39" s="4">
        <v>41759</v>
      </c>
      <c r="R39" s="5">
        <v>150.9795</v>
      </c>
      <c r="S39" s="1">
        <v>2014</v>
      </c>
      <c r="T39" s="1">
        <v>4</v>
      </c>
      <c r="U39" s="1">
        <v>1</v>
      </c>
      <c r="V39" s="1">
        <v>150.9795</v>
      </c>
      <c r="W39" s="1">
        <v>1.0048335033700799E-2</v>
      </c>
      <c r="X39" s="3" t="s">
        <v>174</v>
      </c>
      <c r="Y39" s="4">
        <v>41759</v>
      </c>
      <c r="Z39" s="9">
        <v>2.4744000000000002</v>
      </c>
      <c r="AA39" s="1">
        <v>2014</v>
      </c>
      <c r="AB39" s="1">
        <v>4</v>
      </c>
      <c r="AC39" s="1">
        <v>1</v>
      </c>
      <c r="AD39" s="3">
        <v>2.4744000000000002</v>
      </c>
      <c r="AE39" s="1">
        <v>-0.121525189051017</v>
      </c>
      <c r="AF39" s="1" t="s">
        <v>174</v>
      </c>
    </row>
    <row r="40" spans="1:32">
      <c r="A40" s="4">
        <v>41789</v>
      </c>
      <c r="B40" s="5">
        <v>2156.4639999999999</v>
      </c>
      <c r="C40" s="1">
        <v>2014</v>
      </c>
      <c r="D40" s="1">
        <v>5</v>
      </c>
      <c r="E40" s="1">
        <v>1</v>
      </c>
      <c r="F40" s="3">
        <v>2156.4639999999999</v>
      </c>
      <c r="G40" s="3">
        <v>-1.0168349887593E-3</v>
      </c>
      <c r="H40" s="3" t="s">
        <v>174</v>
      </c>
      <c r="I40" s="4">
        <v>41789</v>
      </c>
      <c r="J40" s="5">
        <v>305.48</v>
      </c>
      <c r="K40" s="1">
        <v>2014</v>
      </c>
      <c r="L40" s="1">
        <v>5</v>
      </c>
      <c r="M40" s="1">
        <v>1</v>
      </c>
      <c r="N40" s="3">
        <v>305.48</v>
      </c>
      <c r="O40" s="3">
        <v>-1.3084353697541301E-2</v>
      </c>
      <c r="P40" s="3" t="s">
        <v>174</v>
      </c>
      <c r="Q40" s="4">
        <v>41789</v>
      </c>
      <c r="R40" s="5">
        <v>153.26599999999999</v>
      </c>
      <c r="S40" s="1">
        <v>2014</v>
      </c>
      <c r="T40" s="1">
        <v>5</v>
      </c>
      <c r="U40" s="1">
        <v>1</v>
      </c>
      <c r="V40" s="1">
        <v>153.26599999999999</v>
      </c>
      <c r="W40" s="1">
        <v>1.51444401392241E-2</v>
      </c>
      <c r="X40" s="3" t="s">
        <v>174</v>
      </c>
      <c r="Y40" s="4">
        <v>41789</v>
      </c>
      <c r="Z40" s="9">
        <v>2.5794000000000001</v>
      </c>
      <c r="AA40" s="1">
        <v>2014</v>
      </c>
      <c r="AB40" s="1">
        <v>5</v>
      </c>
      <c r="AC40" s="1">
        <v>1</v>
      </c>
      <c r="AD40" s="3">
        <v>2.5794000000000001</v>
      </c>
      <c r="AE40" s="1">
        <v>4.2434529582929197E-2</v>
      </c>
      <c r="AF40" s="1" t="s">
        <v>174</v>
      </c>
    </row>
    <row r="41" spans="1:32">
      <c r="A41" s="4">
        <v>41820</v>
      </c>
      <c r="B41" s="5">
        <v>2165.1179999999999</v>
      </c>
      <c r="C41" s="1">
        <v>2014</v>
      </c>
      <c r="D41" s="1">
        <v>6</v>
      </c>
      <c r="E41" s="1">
        <v>1</v>
      </c>
      <c r="F41" s="3">
        <v>2165.1179999999999</v>
      </c>
      <c r="G41" s="3">
        <v>4.0130509945911401E-3</v>
      </c>
      <c r="H41" s="3" t="s">
        <v>174</v>
      </c>
      <c r="I41" s="4">
        <v>41820</v>
      </c>
      <c r="J41" s="5">
        <v>308.22000000000003</v>
      </c>
      <c r="K41" s="1">
        <v>2014</v>
      </c>
      <c r="L41" s="1">
        <v>6</v>
      </c>
      <c r="M41" s="1">
        <v>1</v>
      </c>
      <c r="N41" s="3">
        <v>308.22000000000003</v>
      </c>
      <c r="O41" s="3">
        <v>8.9694906376849796E-3</v>
      </c>
      <c r="P41" s="3" t="s">
        <v>174</v>
      </c>
      <c r="Q41" s="4">
        <v>41820</v>
      </c>
      <c r="R41" s="5">
        <v>154.38239999999999</v>
      </c>
      <c r="S41" s="1">
        <v>2014</v>
      </c>
      <c r="T41" s="1">
        <v>6</v>
      </c>
      <c r="U41" s="1">
        <v>1</v>
      </c>
      <c r="V41" s="1">
        <v>154.38239999999999</v>
      </c>
      <c r="W41" s="1">
        <v>7.2840682212623699E-3</v>
      </c>
      <c r="X41" s="3" t="s">
        <v>174</v>
      </c>
      <c r="Y41" s="4">
        <v>41820</v>
      </c>
      <c r="Z41" s="9">
        <v>2.9316</v>
      </c>
      <c r="AA41" s="1">
        <v>2014</v>
      </c>
      <c r="AB41" s="1">
        <v>6</v>
      </c>
      <c r="AC41" s="1">
        <v>1</v>
      </c>
      <c r="AD41" s="3">
        <v>2.9316</v>
      </c>
      <c r="AE41" s="1">
        <v>0.13654338218190301</v>
      </c>
      <c r="AF41" s="1" t="s">
        <v>174</v>
      </c>
    </row>
    <row r="42" spans="1:32">
      <c r="A42" s="4">
        <v>42153</v>
      </c>
      <c r="B42" s="5">
        <v>4840.8289999999997</v>
      </c>
      <c r="C42" s="1">
        <v>2015</v>
      </c>
      <c r="D42" s="1">
        <v>5</v>
      </c>
      <c r="E42" s="1">
        <v>1</v>
      </c>
      <c r="F42" s="3">
        <v>4840.8289999999997</v>
      </c>
      <c r="G42" s="3">
        <v>1.9146354249343901E-2</v>
      </c>
      <c r="H42" s="3" t="s">
        <v>174</v>
      </c>
      <c r="I42" s="4">
        <v>42153</v>
      </c>
      <c r="J42" s="5">
        <v>223.18</v>
      </c>
      <c r="K42" s="1">
        <v>2015</v>
      </c>
      <c r="L42" s="1">
        <v>5</v>
      </c>
      <c r="M42" s="1">
        <v>1</v>
      </c>
      <c r="N42" s="3">
        <v>223.18</v>
      </c>
      <c r="O42" s="3">
        <v>-2.7495751448864899E-2</v>
      </c>
      <c r="P42" s="3" t="s">
        <v>174</v>
      </c>
      <c r="Q42" s="4">
        <v>42153</v>
      </c>
      <c r="R42" s="5">
        <v>165.5223</v>
      </c>
      <c r="S42" s="1">
        <v>2015</v>
      </c>
      <c r="T42" s="1">
        <v>5</v>
      </c>
      <c r="U42" s="1">
        <v>1</v>
      </c>
      <c r="V42" s="1">
        <v>165.5223</v>
      </c>
      <c r="W42" s="1">
        <v>5.4621738990458099E-3</v>
      </c>
      <c r="X42" s="3" t="s">
        <v>174</v>
      </c>
      <c r="Y42" s="4">
        <v>42153</v>
      </c>
      <c r="Z42" s="9">
        <v>1.0241</v>
      </c>
      <c r="AA42" s="1">
        <v>2015</v>
      </c>
      <c r="AB42" s="1">
        <v>5</v>
      </c>
      <c r="AC42" s="1">
        <v>1</v>
      </c>
      <c r="AD42" s="3">
        <v>1.0241</v>
      </c>
      <c r="AE42" s="1">
        <v>-0.36974583051264698</v>
      </c>
      <c r="AF42" s="1" t="s">
        <v>174</v>
      </c>
    </row>
    <row r="43" spans="1:32">
      <c r="A43" s="4">
        <v>42185</v>
      </c>
      <c r="B43" s="5">
        <v>4472.9975999999997</v>
      </c>
      <c r="C43" s="1">
        <v>2015</v>
      </c>
      <c r="D43" s="1">
        <v>6</v>
      </c>
      <c r="E43" s="1">
        <v>1</v>
      </c>
      <c r="F43" s="3">
        <v>4472.9975999999997</v>
      </c>
      <c r="G43" s="3">
        <v>-7.5985208318657793E-2</v>
      </c>
      <c r="H43" s="3" t="s">
        <v>174</v>
      </c>
      <c r="I43" s="4">
        <v>42185</v>
      </c>
      <c r="J43" s="5">
        <v>227.17</v>
      </c>
      <c r="K43" s="1">
        <v>2015</v>
      </c>
      <c r="L43" s="1">
        <v>6</v>
      </c>
      <c r="M43" s="1">
        <v>1</v>
      </c>
      <c r="N43" s="3">
        <v>227.17</v>
      </c>
      <c r="O43" s="3">
        <v>1.78779460525136E-2</v>
      </c>
      <c r="P43" s="3" t="s">
        <v>174</v>
      </c>
      <c r="Q43" s="4">
        <v>42185</v>
      </c>
      <c r="R43" s="5">
        <v>165.9787</v>
      </c>
      <c r="S43" s="1">
        <v>2015</v>
      </c>
      <c r="T43" s="1">
        <v>6</v>
      </c>
      <c r="U43" s="1">
        <v>1</v>
      </c>
      <c r="V43" s="1">
        <v>165.9787</v>
      </c>
      <c r="W43" s="1">
        <v>2.7573323956953401E-3</v>
      </c>
      <c r="X43" s="3" t="s">
        <v>174</v>
      </c>
      <c r="Y43" s="4">
        <v>42185</v>
      </c>
      <c r="Z43" s="9">
        <v>1.1545000000000001</v>
      </c>
      <c r="AA43" s="1">
        <v>2015</v>
      </c>
      <c r="AB43" s="1">
        <v>6</v>
      </c>
      <c r="AC43" s="1">
        <v>1</v>
      </c>
      <c r="AD43" s="3">
        <v>1.1545000000000001</v>
      </c>
      <c r="AE43" s="1">
        <v>0.12733131530124001</v>
      </c>
      <c r="AF43" s="1" t="s">
        <v>174</v>
      </c>
    </row>
    <row r="44" spans="1:32">
      <c r="A44" s="4">
        <v>42216</v>
      </c>
      <c r="B44" s="5">
        <v>3816.6993000000002</v>
      </c>
      <c r="C44" s="1">
        <v>2015</v>
      </c>
      <c r="D44" s="1">
        <v>7</v>
      </c>
      <c r="E44" s="1">
        <v>1</v>
      </c>
      <c r="F44" s="3">
        <v>3816.6993000000002</v>
      </c>
      <c r="G44" s="3">
        <v>-0.14672449187095499</v>
      </c>
      <c r="H44" s="3" t="s">
        <v>174</v>
      </c>
      <c r="I44" s="4">
        <v>42216</v>
      </c>
      <c r="J44" s="5">
        <v>202.57</v>
      </c>
      <c r="K44" s="1">
        <v>2015</v>
      </c>
      <c r="L44" s="1">
        <v>7</v>
      </c>
      <c r="M44" s="1">
        <v>1</v>
      </c>
      <c r="N44" s="3">
        <v>202.57</v>
      </c>
      <c r="O44" s="3">
        <v>-0.108288946603865</v>
      </c>
      <c r="P44" s="3" t="s">
        <v>174</v>
      </c>
      <c r="Q44" s="4">
        <v>42216</v>
      </c>
      <c r="R44" s="5">
        <v>167.54499999999999</v>
      </c>
      <c r="S44" s="1">
        <v>2015</v>
      </c>
      <c r="T44" s="1">
        <v>7</v>
      </c>
      <c r="U44" s="1">
        <v>1</v>
      </c>
      <c r="V44" s="1">
        <v>167.54499999999999</v>
      </c>
      <c r="W44" s="1">
        <v>9.4367530291536404E-3</v>
      </c>
      <c r="X44" s="3" t="s">
        <v>174</v>
      </c>
      <c r="Y44" s="4">
        <v>42216</v>
      </c>
      <c r="Z44" s="9">
        <v>1.4794</v>
      </c>
      <c r="AA44" s="1">
        <v>2015</v>
      </c>
      <c r="AB44" s="1">
        <v>7</v>
      </c>
      <c r="AC44" s="1">
        <v>1</v>
      </c>
      <c r="AD44" s="3">
        <v>1.4794</v>
      </c>
      <c r="AE44" s="1">
        <v>0.281420528367259</v>
      </c>
      <c r="AF44" s="1" t="s">
        <v>174</v>
      </c>
    </row>
    <row r="45" spans="1:32">
      <c r="A45" s="4">
        <v>42247</v>
      </c>
      <c r="B45" s="5">
        <v>3366.5358999999999</v>
      </c>
      <c r="C45" s="1">
        <v>2015</v>
      </c>
      <c r="D45" s="1">
        <v>8</v>
      </c>
      <c r="E45" s="1">
        <v>1</v>
      </c>
      <c r="F45" s="3">
        <v>3366.5358999999999</v>
      </c>
      <c r="G45" s="3">
        <v>-0.117945733896302</v>
      </c>
      <c r="H45" s="3" t="s">
        <v>174</v>
      </c>
      <c r="I45" s="4">
        <v>42247</v>
      </c>
      <c r="J45" s="5">
        <v>202.09</v>
      </c>
      <c r="K45" s="1">
        <v>2015</v>
      </c>
      <c r="L45" s="1">
        <v>8</v>
      </c>
      <c r="M45" s="1">
        <v>1</v>
      </c>
      <c r="N45" s="3">
        <v>202.09</v>
      </c>
      <c r="O45" s="3">
        <v>-2.3695512662289101E-3</v>
      </c>
      <c r="P45" s="3" t="s">
        <v>174</v>
      </c>
      <c r="Q45" s="4">
        <v>42247</v>
      </c>
      <c r="R45" s="5">
        <v>168.66669999999999</v>
      </c>
      <c r="S45" s="1">
        <v>2015</v>
      </c>
      <c r="T45" s="1">
        <v>8</v>
      </c>
      <c r="U45" s="1">
        <v>1</v>
      </c>
      <c r="V45" s="1">
        <v>168.66669999999999</v>
      </c>
      <c r="W45" s="1">
        <v>6.69491778328213E-3</v>
      </c>
      <c r="X45" s="3" t="s">
        <v>174</v>
      </c>
      <c r="Y45" s="4">
        <v>42247</v>
      </c>
      <c r="Z45" s="9">
        <v>1.8036000000000001</v>
      </c>
      <c r="AA45" s="1">
        <v>2015</v>
      </c>
      <c r="AB45" s="1">
        <v>8</v>
      </c>
      <c r="AC45" s="1">
        <v>1</v>
      </c>
      <c r="AD45" s="3">
        <v>1.8036000000000001</v>
      </c>
      <c r="AE45" s="1">
        <v>0.219142895768555</v>
      </c>
      <c r="AF45" s="1" t="s">
        <v>174</v>
      </c>
    </row>
    <row r="46" spans="1:32">
      <c r="A46" s="4">
        <v>42277</v>
      </c>
      <c r="B46" s="5">
        <v>3202.9475000000002</v>
      </c>
      <c r="C46" s="1">
        <v>2015</v>
      </c>
      <c r="D46" s="1">
        <v>9</v>
      </c>
      <c r="E46" s="1">
        <v>1</v>
      </c>
      <c r="F46" s="3">
        <v>3202.9475000000002</v>
      </c>
      <c r="G46" s="3">
        <v>-4.85925012711136E-2</v>
      </c>
      <c r="H46" s="3" t="s">
        <v>174</v>
      </c>
      <c r="I46" s="4">
        <v>42277</v>
      </c>
      <c r="J46" s="5">
        <v>193.76</v>
      </c>
      <c r="K46" s="1">
        <v>2015</v>
      </c>
      <c r="L46" s="1">
        <v>9</v>
      </c>
      <c r="M46" s="1">
        <v>1</v>
      </c>
      <c r="N46" s="3">
        <v>193.76</v>
      </c>
      <c r="O46" s="3">
        <v>-4.1219258746103299E-2</v>
      </c>
      <c r="P46" s="3" t="s">
        <v>174</v>
      </c>
      <c r="Q46" s="4">
        <v>42277</v>
      </c>
      <c r="R46" s="5">
        <v>169.47190000000001</v>
      </c>
      <c r="S46" s="1">
        <v>2015</v>
      </c>
      <c r="T46" s="1">
        <v>9</v>
      </c>
      <c r="U46" s="1">
        <v>1</v>
      </c>
      <c r="V46" s="1">
        <v>169.47190000000001</v>
      </c>
      <c r="W46" s="1">
        <v>4.77391210001745E-3</v>
      </c>
      <c r="X46" s="3" t="s">
        <v>174</v>
      </c>
      <c r="Y46" s="4">
        <v>42277</v>
      </c>
      <c r="Z46" s="9">
        <v>2.0017</v>
      </c>
      <c r="AA46" s="1">
        <v>2015</v>
      </c>
      <c r="AB46" s="1">
        <v>9</v>
      </c>
      <c r="AC46" s="1">
        <v>1</v>
      </c>
      <c r="AD46" s="3">
        <v>2.0017</v>
      </c>
      <c r="AE46" s="1">
        <v>0.10983588378798</v>
      </c>
      <c r="AF46" s="1" t="s">
        <v>174</v>
      </c>
    </row>
    <row r="47" spans="1:32">
      <c r="A47" s="4">
        <v>42307</v>
      </c>
      <c r="B47" s="5">
        <v>3534.0787999999998</v>
      </c>
      <c r="C47" s="1">
        <v>2015</v>
      </c>
      <c r="D47" s="1">
        <v>10</v>
      </c>
      <c r="E47" s="1">
        <v>1</v>
      </c>
      <c r="F47" s="3">
        <v>3534.0787999999998</v>
      </c>
      <c r="G47" s="3">
        <v>0.103383305533419</v>
      </c>
      <c r="H47" s="3" t="s">
        <v>174</v>
      </c>
      <c r="I47" s="4">
        <v>42307</v>
      </c>
      <c r="J47" s="5">
        <v>195.607</v>
      </c>
      <c r="K47" s="1">
        <v>2015</v>
      </c>
      <c r="L47" s="1">
        <v>10</v>
      </c>
      <c r="M47" s="1">
        <v>1</v>
      </c>
      <c r="N47" s="3">
        <v>195.607</v>
      </c>
      <c r="O47" s="3">
        <v>9.5324112303881506E-3</v>
      </c>
      <c r="P47" s="3" t="s">
        <v>174</v>
      </c>
      <c r="Q47" s="4">
        <v>42307</v>
      </c>
      <c r="R47" s="5">
        <v>171.36959999999999</v>
      </c>
      <c r="S47" s="1">
        <v>2015</v>
      </c>
      <c r="T47" s="1">
        <v>10</v>
      </c>
      <c r="U47" s="1">
        <v>1</v>
      </c>
      <c r="V47" s="1">
        <v>171.36959999999999</v>
      </c>
      <c r="W47" s="1">
        <v>1.1197726584761199E-2</v>
      </c>
      <c r="X47" s="3" t="s">
        <v>174</v>
      </c>
      <c r="Y47" s="4">
        <v>42307</v>
      </c>
      <c r="Z47" s="9">
        <v>1.7849999999999999</v>
      </c>
      <c r="AA47" s="1">
        <v>2015</v>
      </c>
      <c r="AB47" s="1">
        <v>10</v>
      </c>
      <c r="AC47" s="1">
        <v>1</v>
      </c>
      <c r="AD47" s="3">
        <v>1.7849999999999999</v>
      </c>
      <c r="AE47" s="1">
        <v>-0.10825798071639101</v>
      </c>
      <c r="AF47" s="1" t="s">
        <v>174</v>
      </c>
    </row>
    <row r="48" spans="1:32">
      <c r="A48" s="4">
        <v>42338</v>
      </c>
      <c r="B48" s="5">
        <v>3566.4122000000002</v>
      </c>
      <c r="C48" s="1">
        <v>2015</v>
      </c>
      <c r="D48" s="1">
        <v>11</v>
      </c>
      <c r="E48" s="1">
        <v>1</v>
      </c>
      <c r="F48" s="3">
        <v>3566.4122000000002</v>
      </c>
      <c r="G48" s="3">
        <v>9.1490319910242108E-3</v>
      </c>
      <c r="H48" s="3" t="s">
        <v>174</v>
      </c>
      <c r="I48" s="4">
        <v>42338</v>
      </c>
      <c r="J48" s="5">
        <v>182.54</v>
      </c>
      <c r="K48" s="1">
        <v>2015</v>
      </c>
      <c r="L48" s="1">
        <v>11</v>
      </c>
      <c r="M48" s="1">
        <v>1</v>
      </c>
      <c r="N48" s="3">
        <v>182.54</v>
      </c>
      <c r="O48" s="3">
        <v>-6.6802312800666702E-2</v>
      </c>
      <c r="P48" s="3" t="s">
        <v>174</v>
      </c>
      <c r="Q48" s="4">
        <v>42338</v>
      </c>
      <c r="R48" s="5">
        <v>171.5119</v>
      </c>
      <c r="S48" s="1">
        <v>2015</v>
      </c>
      <c r="T48" s="1">
        <v>11</v>
      </c>
      <c r="U48" s="1">
        <v>1</v>
      </c>
      <c r="V48" s="1">
        <v>171.5119</v>
      </c>
      <c r="W48" s="1">
        <v>8.3036898026257798E-4</v>
      </c>
      <c r="X48" s="3" t="s">
        <v>174</v>
      </c>
      <c r="Y48" s="4">
        <v>42338</v>
      </c>
      <c r="Z48" s="9">
        <v>1.8085</v>
      </c>
      <c r="AA48" s="1">
        <v>2015</v>
      </c>
      <c r="AB48" s="1">
        <v>11</v>
      </c>
      <c r="AC48" s="1">
        <v>1</v>
      </c>
      <c r="AD48" s="3">
        <v>1.8085</v>
      </c>
      <c r="AE48" s="1">
        <v>1.31652661064426E-2</v>
      </c>
      <c r="AF48" s="1" t="s">
        <v>174</v>
      </c>
    </row>
    <row r="49" spans="1:32">
      <c r="A49" s="4">
        <v>42369</v>
      </c>
      <c r="B49" s="5">
        <v>3731.0047</v>
      </c>
      <c r="C49" s="1">
        <v>2015</v>
      </c>
      <c r="D49" s="1">
        <v>12</v>
      </c>
      <c r="E49" s="1">
        <v>-11</v>
      </c>
      <c r="F49" s="3">
        <v>3731.0047</v>
      </c>
      <c r="G49" s="3">
        <v>4.6150722566505299E-2</v>
      </c>
      <c r="H49" s="3" t="s">
        <v>174</v>
      </c>
      <c r="I49" s="4">
        <v>42369</v>
      </c>
      <c r="J49" s="5">
        <v>176.27099999999999</v>
      </c>
      <c r="K49" s="1">
        <v>2015</v>
      </c>
      <c r="L49" s="1">
        <v>12</v>
      </c>
      <c r="M49" s="1">
        <v>-11</v>
      </c>
      <c r="N49" s="3">
        <v>176.27099999999999</v>
      </c>
      <c r="O49" s="3">
        <v>-3.4343157664073698E-2</v>
      </c>
      <c r="P49" s="3" t="s">
        <v>174</v>
      </c>
      <c r="Q49" s="4">
        <v>42369</v>
      </c>
      <c r="R49" s="5">
        <v>174.1036</v>
      </c>
      <c r="S49" s="1">
        <v>2015</v>
      </c>
      <c r="T49" s="1">
        <v>12</v>
      </c>
      <c r="U49" s="1">
        <v>-11</v>
      </c>
      <c r="V49" s="1">
        <v>174.1036</v>
      </c>
      <c r="W49" s="1">
        <v>1.5110904841005199E-2</v>
      </c>
      <c r="X49" s="3" t="s">
        <v>174</v>
      </c>
      <c r="Y49" s="4">
        <v>42369</v>
      </c>
      <c r="Z49" s="9">
        <v>2.1400999999999999</v>
      </c>
      <c r="AA49" s="1">
        <v>2015</v>
      </c>
      <c r="AB49" s="1">
        <v>12</v>
      </c>
      <c r="AC49" s="1">
        <v>-11</v>
      </c>
      <c r="AD49" s="3">
        <v>2.1400999999999999</v>
      </c>
      <c r="AE49" s="1">
        <v>0.18335637268454499</v>
      </c>
      <c r="AF49" s="1" t="s">
        <v>174</v>
      </c>
    </row>
    <row r="50" spans="1:32">
      <c r="A50" s="4">
        <v>42398</v>
      </c>
      <c r="B50" s="5">
        <v>2946.0902000000001</v>
      </c>
      <c r="C50" s="1">
        <v>2016</v>
      </c>
      <c r="D50" s="1">
        <v>1</v>
      </c>
      <c r="E50" s="1">
        <v>1</v>
      </c>
      <c r="F50" s="3">
        <v>2946.0902000000001</v>
      </c>
      <c r="G50" s="3">
        <v>-0.210376175618326</v>
      </c>
      <c r="H50" s="3" t="s">
        <v>174</v>
      </c>
      <c r="I50" s="4">
        <v>42398</v>
      </c>
      <c r="J50" s="5">
        <v>166.75299999999999</v>
      </c>
      <c r="K50" s="1">
        <v>2016</v>
      </c>
      <c r="L50" s="1">
        <v>1</v>
      </c>
      <c r="M50" s="1">
        <v>1</v>
      </c>
      <c r="N50" s="3">
        <v>166.75299999999999</v>
      </c>
      <c r="O50" s="3">
        <v>-5.3996403265426499E-2</v>
      </c>
      <c r="P50" s="3" t="s">
        <v>174</v>
      </c>
      <c r="Q50" s="4">
        <v>42398</v>
      </c>
      <c r="R50" s="5">
        <v>174.4545</v>
      </c>
      <c r="S50" s="1">
        <v>2016</v>
      </c>
      <c r="T50" s="1">
        <v>1</v>
      </c>
      <c r="U50" s="1">
        <v>1</v>
      </c>
      <c r="V50" s="1">
        <v>174.4545</v>
      </c>
      <c r="W50" s="1">
        <v>2.0154666531880801E-3</v>
      </c>
      <c r="X50" s="3" t="s">
        <v>174</v>
      </c>
      <c r="Y50" s="4">
        <v>42398</v>
      </c>
      <c r="Z50" s="9">
        <v>2.0160999999999998</v>
      </c>
      <c r="AA50" s="1">
        <v>2016</v>
      </c>
      <c r="AB50" s="1">
        <v>1</v>
      </c>
      <c r="AC50" s="1">
        <v>1</v>
      </c>
      <c r="AD50" s="3">
        <v>2.0160999999999998</v>
      </c>
      <c r="AE50" s="1">
        <v>-5.7941217700107503E-2</v>
      </c>
      <c r="AF50" s="1" t="s">
        <v>174</v>
      </c>
    </row>
    <row r="51" spans="1:32">
      <c r="A51" s="4">
        <v>42613</v>
      </c>
      <c r="B51" s="5">
        <v>3327.7937999999999</v>
      </c>
      <c r="C51" s="1">
        <v>2016</v>
      </c>
      <c r="D51" s="1">
        <v>8</v>
      </c>
      <c r="E51" s="1">
        <v>1</v>
      </c>
      <c r="F51" s="3">
        <v>3327.7937999999999</v>
      </c>
      <c r="G51" s="3">
        <v>3.8659828565564297E-2</v>
      </c>
      <c r="H51" s="3" t="s">
        <v>174</v>
      </c>
      <c r="I51" s="4">
        <v>42613</v>
      </c>
      <c r="J51" s="5">
        <v>180.21</v>
      </c>
      <c r="K51" s="1">
        <v>2016</v>
      </c>
      <c r="L51" s="1">
        <v>8</v>
      </c>
      <c r="M51" s="1">
        <v>1</v>
      </c>
      <c r="N51" s="3">
        <v>180.21</v>
      </c>
      <c r="O51" s="3">
        <v>-4.4416453975935702E-3</v>
      </c>
      <c r="P51" s="3" t="s">
        <v>174</v>
      </c>
      <c r="Q51" s="4">
        <v>42613</v>
      </c>
      <c r="R51" s="5">
        <v>179.20269999999999</v>
      </c>
      <c r="S51" s="1">
        <v>2016</v>
      </c>
      <c r="T51" s="1">
        <v>8</v>
      </c>
      <c r="U51" s="1">
        <v>1</v>
      </c>
      <c r="V51" s="1">
        <v>179.20269999999999</v>
      </c>
      <c r="W51" s="1">
        <v>4.8858473605881596E-3</v>
      </c>
      <c r="X51" s="3" t="s">
        <v>174</v>
      </c>
      <c r="Y51" s="4">
        <v>42613</v>
      </c>
      <c r="Z51" s="9">
        <v>2.0951</v>
      </c>
      <c r="AA51" s="1">
        <v>2016</v>
      </c>
      <c r="AB51" s="1">
        <v>8</v>
      </c>
      <c r="AC51" s="1">
        <v>1</v>
      </c>
      <c r="AD51" s="3">
        <v>2.0951</v>
      </c>
      <c r="AE51" s="1">
        <v>2.8623330714846799E-2</v>
      </c>
      <c r="AF51" s="1" t="s">
        <v>174</v>
      </c>
    </row>
    <row r="52" spans="1:32">
      <c r="A52" s="4">
        <v>42643</v>
      </c>
      <c r="B52" s="5">
        <v>3253.2847999999999</v>
      </c>
      <c r="C52" s="1">
        <v>2016</v>
      </c>
      <c r="D52" s="1">
        <v>9</v>
      </c>
      <c r="E52" s="1">
        <v>1</v>
      </c>
      <c r="F52" s="3">
        <v>3253.2847999999999</v>
      </c>
      <c r="G52" s="3">
        <v>-2.2389908893994601E-2</v>
      </c>
      <c r="H52" s="3" t="s">
        <v>174</v>
      </c>
      <c r="I52" s="4">
        <v>42643</v>
      </c>
      <c r="J52" s="5">
        <v>186.32</v>
      </c>
      <c r="K52" s="1">
        <v>2016</v>
      </c>
      <c r="L52" s="1">
        <v>9</v>
      </c>
      <c r="M52" s="1">
        <v>1</v>
      </c>
      <c r="N52" s="3">
        <v>186.32</v>
      </c>
      <c r="O52" s="3">
        <v>3.3904888740913297E-2</v>
      </c>
      <c r="P52" s="3" t="s">
        <v>174</v>
      </c>
      <c r="Q52" s="4">
        <v>42643</v>
      </c>
      <c r="R52" s="5">
        <v>179.97190000000001</v>
      </c>
      <c r="S52" s="1">
        <v>2016</v>
      </c>
      <c r="T52" s="1">
        <v>9</v>
      </c>
      <c r="U52" s="1">
        <v>1</v>
      </c>
      <c r="V52" s="1">
        <v>179.97190000000001</v>
      </c>
      <c r="W52" s="1">
        <v>4.2923460416612698E-3</v>
      </c>
      <c r="X52" s="3" t="s">
        <v>174</v>
      </c>
      <c r="Y52" s="4">
        <v>42643</v>
      </c>
      <c r="Z52" s="9">
        <v>2.3414000000000001</v>
      </c>
      <c r="AA52" s="1">
        <v>2016</v>
      </c>
      <c r="AB52" s="1">
        <v>9</v>
      </c>
      <c r="AC52" s="1">
        <v>1</v>
      </c>
      <c r="AD52" s="3">
        <v>2.3414000000000001</v>
      </c>
      <c r="AE52" s="1">
        <v>0.117560021001384</v>
      </c>
      <c r="AF52" s="1" t="s">
        <v>174</v>
      </c>
    </row>
    <row r="53" spans="1:32">
      <c r="A53" s="4">
        <v>42674</v>
      </c>
      <c r="B53" s="5">
        <v>3336.2777999999998</v>
      </c>
      <c r="C53" s="1">
        <v>2016</v>
      </c>
      <c r="D53" s="1">
        <v>10</v>
      </c>
      <c r="E53" s="1">
        <v>1</v>
      </c>
      <c r="F53" s="3">
        <v>3336.2777999999998</v>
      </c>
      <c r="G53" s="3">
        <v>2.5510524009456501E-2</v>
      </c>
      <c r="H53" s="3" t="s">
        <v>174</v>
      </c>
      <c r="I53" s="4">
        <v>42674</v>
      </c>
      <c r="J53" s="5">
        <v>186.28</v>
      </c>
      <c r="K53" s="1">
        <v>2016</v>
      </c>
      <c r="L53" s="1">
        <v>10</v>
      </c>
      <c r="M53" s="1">
        <v>1</v>
      </c>
      <c r="N53" s="3">
        <v>186.28</v>
      </c>
      <c r="O53" s="3">
        <v>-2.1468441391150699E-4</v>
      </c>
      <c r="P53" s="3" t="s">
        <v>174</v>
      </c>
      <c r="Q53" s="4">
        <v>42674</v>
      </c>
      <c r="R53" s="5">
        <v>180.7569</v>
      </c>
      <c r="S53" s="1">
        <v>2016</v>
      </c>
      <c r="T53" s="1">
        <v>10</v>
      </c>
      <c r="U53" s="1">
        <v>1</v>
      </c>
      <c r="V53" s="1">
        <v>180.7569</v>
      </c>
      <c r="W53" s="1">
        <v>4.3617920353121601E-3</v>
      </c>
      <c r="X53" s="3" t="s">
        <v>174</v>
      </c>
      <c r="Y53" s="4">
        <v>42674</v>
      </c>
      <c r="Z53" s="9">
        <v>2.3892000000000002</v>
      </c>
      <c r="AA53" s="1">
        <v>2016</v>
      </c>
      <c r="AB53" s="1">
        <v>10</v>
      </c>
      <c r="AC53" s="1">
        <v>1</v>
      </c>
      <c r="AD53" s="3">
        <v>2.3892000000000002</v>
      </c>
      <c r="AE53" s="1">
        <v>2.0415136243273301E-2</v>
      </c>
      <c r="AF53" s="1" t="s">
        <v>174</v>
      </c>
    </row>
    <row r="54" spans="1:32">
      <c r="A54" s="4">
        <v>42704</v>
      </c>
      <c r="B54" s="5">
        <v>3538.0010000000002</v>
      </c>
      <c r="C54" s="1">
        <v>2016</v>
      </c>
      <c r="D54" s="1">
        <v>11</v>
      </c>
      <c r="E54" s="1">
        <v>1</v>
      </c>
      <c r="F54" s="3">
        <v>3538.0010000000002</v>
      </c>
      <c r="G54" s="3">
        <v>6.0463550127630397E-2</v>
      </c>
      <c r="H54" s="3" t="s">
        <v>174</v>
      </c>
      <c r="I54" s="4">
        <v>42704</v>
      </c>
      <c r="J54" s="5">
        <v>189.31</v>
      </c>
      <c r="K54" s="1">
        <v>2016</v>
      </c>
      <c r="L54" s="1">
        <v>11</v>
      </c>
      <c r="M54" s="1">
        <v>1</v>
      </c>
      <c r="N54" s="3">
        <v>189.31</v>
      </c>
      <c r="O54" s="3">
        <v>1.62658363753489E-2</v>
      </c>
      <c r="P54" s="3" t="s">
        <v>174</v>
      </c>
      <c r="Q54" s="4">
        <v>42704</v>
      </c>
      <c r="R54" s="5">
        <v>179.26130000000001</v>
      </c>
      <c r="S54" s="1">
        <v>2016</v>
      </c>
      <c r="T54" s="1">
        <v>11</v>
      </c>
      <c r="U54" s="1">
        <v>1</v>
      </c>
      <c r="V54" s="1">
        <v>179.26130000000001</v>
      </c>
      <c r="W54" s="1">
        <v>-8.2740963138889598E-3</v>
      </c>
      <c r="X54" s="3" t="s">
        <v>174</v>
      </c>
      <c r="Y54" s="4">
        <v>42704</v>
      </c>
      <c r="Z54" s="9">
        <v>2.5998999999999999</v>
      </c>
      <c r="AA54" s="1">
        <v>2016</v>
      </c>
      <c r="AB54" s="1">
        <v>11</v>
      </c>
      <c r="AC54" s="1">
        <v>1</v>
      </c>
      <c r="AD54" s="3">
        <v>2.5998999999999999</v>
      </c>
      <c r="AE54" s="1">
        <v>8.8188514984094898E-2</v>
      </c>
      <c r="AF54" s="1" t="s">
        <v>174</v>
      </c>
    </row>
    <row r="55" spans="1:32">
      <c r="A55" s="4">
        <v>42734</v>
      </c>
      <c r="B55" s="5">
        <v>3310.0808000000002</v>
      </c>
      <c r="C55" s="1">
        <v>2016</v>
      </c>
      <c r="D55" s="1">
        <v>12</v>
      </c>
      <c r="E55" s="1">
        <v>-11</v>
      </c>
      <c r="F55" s="3">
        <v>3310.0808000000002</v>
      </c>
      <c r="G55" s="3">
        <v>-6.4420614917858998E-2</v>
      </c>
      <c r="H55" s="3" t="s">
        <v>174</v>
      </c>
      <c r="I55" s="4">
        <v>42734</v>
      </c>
      <c r="J55" s="5">
        <v>192.51</v>
      </c>
      <c r="K55" s="1">
        <v>2016</v>
      </c>
      <c r="L55" s="1">
        <v>12</v>
      </c>
      <c r="M55" s="1">
        <v>-11</v>
      </c>
      <c r="N55" s="3">
        <v>192.51</v>
      </c>
      <c r="O55" s="3">
        <v>1.6903491627489199E-2</v>
      </c>
      <c r="P55" s="3" t="s">
        <v>174</v>
      </c>
      <c r="Q55" s="4">
        <v>42734</v>
      </c>
      <c r="R55" s="5">
        <v>177.2894</v>
      </c>
      <c r="S55" s="1">
        <v>2016</v>
      </c>
      <c r="T55" s="1">
        <v>12</v>
      </c>
      <c r="U55" s="1">
        <v>-11</v>
      </c>
      <c r="V55" s="1">
        <v>177.2894</v>
      </c>
      <c r="W55" s="1">
        <v>-1.10001433661365E-2</v>
      </c>
      <c r="X55" s="3" t="s">
        <v>174</v>
      </c>
      <c r="Y55" s="4">
        <v>42735</v>
      </c>
      <c r="Z55" s="9">
        <v>2.1410999999999998</v>
      </c>
      <c r="AA55" s="1">
        <v>2016</v>
      </c>
      <c r="AB55" s="1">
        <v>12</v>
      </c>
      <c r="AC55" s="1">
        <v>-11</v>
      </c>
      <c r="AD55" s="3">
        <v>2.1410999999999998</v>
      </c>
      <c r="AE55" s="1">
        <v>-0.17646832570483501</v>
      </c>
      <c r="AF55" s="1" t="s">
        <v>174</v>
      </c>
    </row>
    <row r="56" spans="1:32">
      <c r="A56" s="4">
        <v>42761</v>
      </c>
      <c r="B56" s="5">
        <v>3387.9605999999999</v>
      </c>
      <c r="C56" s="1">
        <v>2017</v>
      </c>
      <c r="D56" s="1">
        <v>1</v>
      </c>
      <c r="E56" s="1">
        <v>1</v>
      </c>
      <c r="F56" s="3">
        <v>3387.9605999999999</v>
      </c>
      <c r="G56" s="3">
        <v>2.3528066142675299E-2</v>
      </c>
      <c r="H56" s="3" t="s">
        <v>174</v>
      </c>
      <c r="I56" s="4">
        <v>42761</v>
      </c>
      <c r="J56" s="5">
        <v>194.26</v>
      </c>
      <c r="K56" s="1">
        <v>2017</v>
      </c>
      <c r="L56" s="1">
        <v>1</v>
      </c>
      <c r="M56" s="1">
        <v>1</v>
      </c>
      <c r="N56" s="3">
        <v>194.26</v>
      </c>
      <c r="O56" s="3">
        <v>9.0904368604228392E-3</v>
      </c>
      <c r="P56" s="3" t="s">
        <v>174</v>
      </c>
      <c r="Q56" s="4">
        <v>42761</v>
      </c>
      <c r="R56" s="5">
        <v>176.6943</v>
      </c>
      <c r="S56" s="1">
        <v>2017</v>
      </c>
      <c r="T56" s="1">
        <v>1</v>
      </c>
      <c r="U56" s="1">
        <v>1</v>
      </c>
      <c r="V56" s="1">
        <v>176.6943</v>
      </c>
      <c r="W56" s="1">
        <v>-3.3566586609239E-3</v>
      </c>
      <c r="X56" s="3" t="s">
        <v>174</v>
      </c>
      <c r="Y56" s="4">
        <v>42761</v>
      </c>
      <c r="Z56" s="9">
        <v>2.6238999999999999</v>
      </c>
      <c r="AA56" s="1">
        <v>2017</v>
      </c>
      <c r="AB56" s="1">
        <v>1</v>
      </c>
      <c r="AC56" s="1">
        <v>1</v>
      </c>
      <c r="AD56" s="3">
        <v>2.6238999999999999</v>
      </c>
      <c r="AE56" s="1">
        <v>0.225491569753865</v>
      </c>
      <c r="AF56" s="1" t="s">
        <v>174</v>
      </c>
    </row>
    <row r="57" spans="1:32">
      <c r="A57" s="4">
        <v>43496</v>
      </c>
      <c r="B57" s="5">
        <v>3201.6331</v>
      </c>
      <c r="C57" s="1">
        <v>2019</v>
      </c>
      <c r="D57" s="1">
        <v>1</v>
      </c>
      <c r="E57" s="1">
        <v>1</v>
      </c>
      <c r="F57" s="3">
        <v>3201.6331</v>
      </c>
      <c r="G57" s="3">
        <v>6.3434564507852995E-2</v>
      </c>
      <c r="H57" s="3" t="s">
        <v>174</v>
      </c>
      <c r="I57" s="4">
        <v>43496</v>
      </c>
      <c r="J57" s="5">
        <v>179.64</v>
      </c>
      <c r="K57" s="1">
        <v>2019</v>
      </c>
      <c r="L57" s="1">
        <v>1</v>
      </c>
      <c r="M57" s="1">
        <v>1</v>
      </c>
      <c r="N57" s="3">
        <v>179.64</v>
      </c>
      <c r="O57" s="3">
        <v>5.0710650991401901E-2</v>
      </c>
      <c r="P57" s="3" t="s">
        <v>174</v>
      </c>
      <c r="Q57" s="4">
        <v>43496</v>
      </c>
      <c r="R57" s="5">
        <v>193.9194</v>
      </c>
      <c r="S57" s="1">
        <v>2019</v>
      </c>
      <c r="T57" s="1">
        <v>1</v>
      </c>
      <c r="U57" s="1">
        <v>1</v>
      </c>
      <c r="V57" s="1">
        <v>193.9194</v>
      </c>
      <c r="W57" s="1">
        <v>8.5460394994284691E-3</v>
      </c>
      <c r="X57" s="3" t="s">
        <v>174</v>
      </c>
      <c r="Y57" s="4">
        <v>43496</v>
      </c>
      <c r="Z57" s="9">
        <v>2.3027000000000002</v>
      </c>
      <c r="AA57" s="1">
        <v>2019</v>
      </c>
      <c r="AB57" s="1">
        <v>1</v>
      </c>
      <c r="AC57" s="1">
        <v>1</v>
      </c>
      <c r="AD57" s="3">
        <v>2.3027000000000002</v>
      </c>
      <c r="AE57" s="1">
        <v>-8.8508886513873994E-2</v>
      </c>
      <c r="AF57" s="1" t="s">
        <v>174</v>
      </c>
    </row>
    <row r="58" spans="1:32">
      <c r="A58" s="4">
        <v>43524</v>
      </c>
      <c r="B58" s="5">
        <v>3669.3703</v>
      </c>
      <c r="C58" s="1">
        <v>2019</v>
      </c>
      <c r="D58" s="1">
        <v>2</v>
      </c>
      <c r="E58" s="1">
        <v>1</v>
      </c>
      <c r="F58" s="3">
        <v>3669.3703</v>
      </c>
      <c r="G58" s="3">
        <v>0.14609331718865601</v>
      </c>
      <c r="H58" s="3" t="s">
        <v>174</v>
      </c>
      <c r="I58" s="4">
        <v>43524</v>
      </c>
      <c r="J58" s="5">
        <v>182.75</v>
      </c>
      <c r="K58" s="1">
        <v>2019</v>
      </c>
      <c r="L58" s="1">
        <v>2</v>
      </c>
      <c r="M58" s="1">
        <v>1</v>
      </c>
      <c r="N58" s="3">
        <v>182.75</v>
      </c>
      <c r="O58" s="3">
        <v>1.7312402582943701E-2</v>
      </c>
      <c r="P58" s="3" t="s">
        <v>174</v>
      </c>
      <c r="Q58" s="4">
        <v>43524</v>
      </c>
      <c r="R58" s="5">
        <v>194.0438</v>
      </c>
      <c r="S58" s="1">
        <v>2019</v>
      </c>
      <c r="T58" s="1">
        <v>2</v>
      </c>
      <c r="U58" s="1">
        <v>1</v>
      </c>
      <c r="V58" s="1">
        <v>194.0438</v>
      </c>
      <c r="W58" s="1">
        <v>6.4150363501541598E-4</v>
      </c>
      <c r="X58" s="3" t="s">
        <v>174</v>
      </c>
      <c r="Y58" s="4">
        <v>43524</v>
      </c>
      <c r="Z58" s="9">
        <v>2.6360000000000001</v>
      </c>
      <c r="AA58" s="1">
        <v>2019</v>
      </c>
      <c r="AB58" s="1">
        <v>2</v>
      </c>
      <c r="AC58" s="1">
        <v>1</v>
      </c>
      <c r="AD58" s="3">
        <v>2.6360000000000001</v>
      </c>
      <c r="AE58" s="1">
        <v>0.144743127632779</v>
      </c>
      <c r="AF58" s="1" t="s">
        <v>174</v>
      </c>
    </row>
    <row r="59" spans="1:32">
      <c r="A59" s="4">
        <v>43553</v>
      </c>
      <c r="B59" s="5">
        <v>3872.3411999999998</v>
      </c>
      <c r="C59" s="1">
        <v>2019</v>
      </c>
      <c r="D59" s="1">
        <v>3</v>
      </c>
      <c r="E59" s="1">
        <v>1</v>
      </c>
      <c r="F59" s="3">
        <v>3872.3411999999998</v>
      </c>
      <c r="G59" s="3">
        <v>5.5314913297248802E-2</v>
      </c>
      <c r="H59" s="3" t="s">
        <v>174</v>
      </c>
      <c r="I59" s="4">
        <v>43553</v>
      </c>
      <c r="J59" s="5">
        <v>183.75</v>
      </c>
      <c r="K59" s="1">
        <v>2019</v>
      </c>
      <c r="L59" s="1">
        <v>3</v>
      </c>
      <c r="M59" s="1">
        <v>1</v>
      </c>
      <c r="N59" s="3">
        <v>183.75</v>
      </c>
      <c r="O59" s="3">
        <v>5.4719562243502103E-3</v>
      </c>
      <c r="P59" s="3" t="s">
        <v>174</v>
      </c>
      <c r="Q59" s="4">
        <v>43553</v>
      </c>
      <c r="R59" s="5">
        <v>194.60069999999999</v>
      </c>
      <c r="S59" s="1">
        <v>2019</v>
      </c>
      <c r="T59" s="1">
        <v>3</v>
      </c>
      <c r="U59" s="1">
        <v>1</v>
      </c>
      <c r="V59" s="1">
        <v>194.60069999999999</v>
      </c>
      <c r="W59" s="1">
        <v>2.8699705942678102E-3</v>
      </c>
      <c r="X59" s="3" t="s">
        <v>174</v>
      </c>
      <c r="Y59" s="4">
        <v>43553</v>
      </c>
      <c r="Z59" s="9">
        <v>2.7155</v>
      </c>
      <c r="AA59" s="1">
        <v>2019</v>
      </c>
      <c r="AB59" s="1">
        <v>3</v>
      </c>
      <c r="AC59" s="1">
        <v>1</v>
      </c>
      <c r="AD59" s="3">
        <v>2.7155</v>
      </c>
      <c r="AE59" s="1">
        <v>3.0159332321699501E-2</v>
      </c>
      <c r="AF59" s="1" t="s">
        <v>174</v>
      </c>
    </row>
    <row r="60" spans="1:32">
      <c r="A60" s="4">
        <v>43585</v>
      </c>
      <c r="B60" s="5">
        <v>3913.2109999999998</v>
      </c>
      <c r="C60" s="1">
        <v>2019</v>
      </c>
      <c r="D60" s="1">
        <v>4</v>
      </c>
      <c r="E60" s="1">
        <v>1</v>
      </c>
      <c r="F60" s="3">
        <v>3913.2109999999998</v>
      </c>
      <c r="G60" s="3">
        <v>1.0554286900131601E-2</v>
      </c>
      <c r="H60" s="3" t="s">
        <v>174</v>
      </c>
      <c r="I60" s="4">
        <v>43585</v>
      </c>
      <c r="J60" s="5">
        <v>184.25</v>
      </c>
      <c r="K60" s="1">
        <v>2019</v>
      </c>
      <c r="L60" s="1">
        <v>4</v>
      </c>
      <c r="M60" s="1">
        <v>1</v>
      </c>
      <c r="N60" s="3">
        <v>184.25</v>
      </c>
      <c r="O60" s="3">
        <v>2.7210884353741499E-3</v>
      </c>
      <c r="P60" s="3" t="s">
        <v>174</v>
      </c>
      <c r="Q60" s="4">
        <v>43585</v>
      </c>
      <c r="R60" s="5">
        <v>193.47219999999999</v>
      </c>
      <c r="S60" s="1">
        <v>2019</v>
      </c>
      <c r="T60" s="1">
        <v>4</v>
      </c>
      <c r="U60" s="1">
        <v>1</v>
      </c>
      <c r="V60" s="1">
        <v>193.47219999999999</v>
      </c>
      <c r="W60" s="1">
        <v>-5.7990541657866696E-3</v>
      </c>
      <c r="X60" s="3" t="s">
        <v>174</v>
      </c>
      <c r="Y60" s="4">
        <v>43585</v>
      </c>
      <c r="Z60" s="9">
        <v>2.1164999999999998</v>
      </c>
      <c r="AA60" s="1">
        <v>2019</v>
      </c>
      <c r="AB60" s="1">
        <v>4</v>
      </c>
      <c r="AC60" s="1">
        <v>1</v>
      </c>
      <c r="AD60" s="3">
        <v>2.1164999999999998</v>
      </c>
      <c r="AE60" s="1">
        <v>-0.22058552752715899</v>
      </c>
      <c r="AF60" s="1" t="s">
        <v>174</v>
      </c>
    </row>
    <row r="61" spans="1:32">
      <c r="A61" s="4">
        <v>43616</v>
      </c>
      <c r="B61" s="5">
        <v>3629.7892999999999</v>
      </c>
      <c r="C61" s="1">
        <v>2019</v>
      </c>
      <c r="D61" s="1">
        <v>5</v>
      </c>
      <c r="E61" s="1">
        <v>1</v>
      </c>
      <c r="F61" s="3">
        <v>3629.7892999999999</v>
      </c>
      <c r="G61" s="3">
        <v>-7.2426889324393701E-2</v>
      </c>
      <c r="H61" s="3" t="s">
        <v>174</v>
      </c>
      <c r="I61" s="4">
        <v>43616</v>
      </c>
      <c r="J61" s="5">
        <v>175.36</v>
      </c>
      <c r="K61" s="1">
        <v>2019</v>
      </c>
      <c r="L61" s="1">
        <v>5</v>
      </c>
      <c r="M61" s="1">
        <v>1</v>
      </c>
      <c r="N61" s="3">
        <v>175.36</v>
      </c>
      <c r="O61" s="3">
        <v>-4.8249660786974097E-2</v>
      </c>
      <c r="P61" s="3" t="s">
        <v>174</v>
      </c>
      <c r="Q61" s="4">
        <v>43616</v>
      </c>
      <c r="R61" s="5">
        <v>194.8323</v>
      </c>
      <c r="S61" s="1">
        <v>2019</v>
      </c>
      <c r="T61" s="1">
        <v>5</v>
      </c>
      <c r="U61" s="1">
        <v>1</v>
      </c>
      <c r="V61" s="1">
        <v>194.8323</v>
      </c>
      <c r="W61" s="1">
        <v>7.02995055620403E-3</v>
      </c>
      <c r="X61" s="3" t="s">
        <v>174</v>
      </c>
      <c r="Y61" s="4">
        <v>43616</v>
      </c>
      <c r="Z61" s="9">
        <v>2.2292999999999998</v>
      </c>
      <c r="AA61" s="1">
        <v>2019</v>
      </c>
      <c r="AB61" s="1">
        <v>5</v>
      </c>
      <c r="AC61" s="1">
        <v>1</v>
      </c>
      <c r="AD61" s="3">
        <v>2.2292999999999998</v>
      </c>
      <c r="AE61" s="1">
        <v>5.3295535081502497E-2</v>
      </c>
      <c r="AF61" s="1" t="s">
        <v>174</v>
      </c>
    </row>
    <row r="62" spans="1:32">
      <c r="A62" s="4">
        <v>43644</v>
      </c>
      <c r="B62" s="5">
        <v>3825.5873000000001</v>
      </c>
      <c r="C62" s="1">
        <v>2019</v>
      </c>
      <c r="D62" s="1">
        <v>6</v>
      </c>
      <c r="E62" s="1">
        <v>1</v>
      </c>
      <c r="F62" s="3">
        <v>3825.5873000000001</v>
      </c>
      <c r="G62" s="3">
        <v>5.3941973987305603E-2</v>
      </c>
      <c r="H62" s="3" t="s">
        <v>174</v>
      </c>
      <c r="I62" s="4">
        <v>43644</v>
      </c>
      <c r="J62" s="5">
        <v>181.04</v>
      </c>
      <c r="K62" s="1">
        <v>2019</v>
      </c>
      <c r="L62" s="1">
        <v>6</v>
      </c>
      <c r="M62" s="1">
        <v>1</v>
      </c>
      <c r="N62" s="3">
        <v>181.04</v>
      </c>
      <c r="O62" s="3">
        <v>3.2390510948905001E-2</v>
      </c>
      <c r="P62" s="3" t="s">
        <v>174</v>
      </c>
      <c r="Q62" s="4">
        <v>43644</v>
      </c>
      <c r="R62" s="5">
        <v>195.86410000000001</v>
      </c>
      <c r="S62" s="1">
        <v>2019</v>
      </c>
      <c r="T62" s="1">
        <v>6</v>
      </c>
      <c r="U62" s="1">
        <v>1</v>
      </c>
      <c r="V62" s="1">
        <v>195.86410000000001</v>
      </c>
      <c r="W62" s="1">
        <v>5.2958364706468296E-3</v>
      </c>
      <c r="X62" s="3" t="s">
        <v>174</v>
      </c>
      <c r="Y62" s="4">
        <v>43644</v>
      </c>
      <c r="Z62" s="9">
        <v>1.548</v>
      </c>
      <c r="AA62" s="1">
        <v>2019</v>
      </c>
      <c r="AB62" s="1">
        <v>6</v>
      </c>
      <c r="AC62" s="1">
        <v>1</v>
      </c>
      <c r="AD62" s="3">
        <v>1.548</v>
      </c>
      <c r="AE62" s="1">
        <v>-0.30561162696810701</v>
      </c>
      <c r="AF62" s="1" t="s">
        <v>174</v>
      </c>
    </row>
    <row r="63" spans="1:32">
      <c r="A63" s="4">
        <v>43921</v>
      </c>
      <c r="B63" s="5">
        <v>3686.1550999999999</v>
      </c>
      <c r="C63" s="1">
        <v>2020</v>
      </c>
      <c r="D63" s="1">
        <v>3</v>
      </c>
      <c r="E63" s="1">
        <v>1</v>
      </c>
      <c r="F63" s="3">
        <v>3686.1550999999999</v>
      </c>
      <c r="G63" s="3">
        <v>-6.4439227250180295E-2</v>
      </c>
      <c r="H63" s="3" t="s">
        <v>174</v>
      </c>
      <c r="I63" s="4">
        <v>43921</v>
      </c>
      <c r="J63" s="5">
        <v>121.79</v>
      </c>
      <c r="K63" s="1">
        <v>2020</v>
      </c>
      <c r="L63" s="1">
        <v>3</v>
      </c>
      <c r="M63" s="1">
        <v>1</v>
      </c>
      <c r="N63" s="3">
        <v>121.79</v>
      </c>
      <c r="O63" s="3">
        <v>-0.236186892442772</v>
      </c>
      <c r="P63" s="3" t="s">
        <v>174</v>
      </c>
      <c r="Q63" s="4">
        <v>43921</v>
      </c>
      <c r="R63" s="5">
        <v>206.37219999999999</v>
      </c>
      <c r="S63" s="1">
        <v>2020</v>
      </c>
      <c r="T63" s="1">
        <v>3</v>
      </c>
      <c r="U63" s="1">
        <v>1</v>
      </c>
      <c r="V63" s="1">
        <v>206.37219999999999</v>
      </c>
      <c r="W63" s="1">
        <v>7.1446628295011999E-3</v>
      </c>
      <c r="X63" s="3" t="s">
        <v>174</v>
      </c>
      <c r="Y63" s="4">
        <v>43921</v>
      </c>
      <c r="Z63" s="9">
        <v>1.7661</v>
      </c>
      <c r="AA63" s="1">
        <v>2020</v>
      </c>
      <c r="AB63" s="1">
        <v>3</v>
      </c>
      <c r="AC63" s="1">
        <v>1</v>
      </c>
      <c r="AD63" s="3">
        <v>1.7661</v>
      </c>
      <c r="AE63" s="1">
        <v>3.23240589198035E-2</v>
      </c>
      <c r="AF63" s="1" t="s">
        <v>174</v>
      </c>
    </row>
    <row r="64" spans="1:32">
      <c r="A64" s="4">
        <v>43951</v>
      </c>
      <c r="B64" s="5">
        <v>3912.5772000000002</v>
      </c>
      <c r="C64" s="1">
        <v>2020</v>
      </c>
      <c r="D64" s="1">
        <v>4</v>
      </c>
      <c r="E64" s="1">
        <v>1</v>
      </c>
      <c r="F64" s="3">
        <v>3912.5772000000002</v>
      </c>
      <c r="G64" s="3">
        <v>6.14250062348164E-2</v>
      </c>
      <c r="H64" s="3" t="s">
        <v>174</v>
      </c>
      <c r="I64" s="4">
        <v>43951</v>
      </c>
      <c r="J64" s="5">
        <v>117.2</v>
      </c>
      <c r="K64" s="1">
        <v>2020</v>
      </c>
      <c r="L64" s="1">
        <v>4</v>
      </c>
      <c r="M64" s="1">
        <v>1</v>
      </c>
      <c r="N64" s="3">
        <v>117.2</v>
      </c>
      <c r="O64" s="3">
        <v>-3.7687823302405797E-2</v>
      </c>
      <c r="P64" s="3" t="s">
        <v>174</v>
      </c>
      <c r="Q64" s="4">
        <v>43951</v>
      </c>
      <c r="R64" s="5">
        <v>209.12700000000001</v>
      </c>
      <c r="S64" s="1">
        <v>2020</v>
      </c>
      <c r="T64" s="1">
        <v>4</v>
      </c>
      <c r="U64" s="1">
        <v>1</v>
      </c>
      <c r="V64" s="1">
        <v>209.12700000000001</v>
      </c>
      <c r="W64" s="1">
        <v>1.3348697159792E-2</v>
      </c>
      <c r="X64" s="3" t="s">
        <v>174</v>
      </c>
      <c r="Y64" s="4">
        <v>43951</v>
      </c>
      <c r="Z64" s="9">
        <v>1.8722000000000001</v>
      </c>
      <c r="AA64" s="1">
        <v>2020</v>
      </c>
      <c r="AB64" s="1">
        <v>4</v>
      </c>
      <c r="AC64" s="1">
        <v>1</v>
      </c>
      <c r="AD64" s="3">
        <v>1.8722000000000001</v>
      </c>
      <c r="AE64" s="1">
        <v>6.0075873393352602E-2</v>
      </c>
      <c r="AF64" s="1" t="s">
        <v>174</v>
      </c>
    </row>
    <row r="65" spans="1:32">
      <c r="A65" s="4">
        <v>43980</v>
      </c>
      <c r="B65" s="5">
        <v>3867.0232000000001</v>
      </c>
      <c r="C65" s="1">
        <v>2020</v>
      </c>
      <c r="D65" s="1">
        <v>5</v>
      </c>
      <c r="E65" s="1">
        <v>1</v>
      </c>
      <c r="F65" s="3">
        <v>3867.0232000000001</v>
      </c>
      <c r="G65" s="3">
        <v>-1.16429651535055E-2</v>
      </c>
      <c r="H65" s="3" t="s">
        <v>174</v>
      </c>
      <c r="I65" s="4">
        <v>43980</v>
      </c>
      <c r="J65" s="5">
        <v>132.24</v>
      </c>
      <c r="K65" s="1">
        <v>2020</v>
      </c>
      <c r="L65" s="1">
        <v>5</v>
      </c>
      <c r="M65" s="1">
        <v>1</v>
      </c>
      <c r="N65" s="3">
        <v>132.24</v>
      </c>
      <c r="O65" s="3">
        <v>0.12832764505119501</v>
      </c>
      <c r="P65" s="3" t="s">
        <v>174</v>
      </c>
      <c r="Q65" s="4">
        <v>43980</v>
      </c>
      <c r="R65" s="5">
        <v>207.32509999999999</v>
      </c>
      <c r="S65" s="1">
        <v>2020</v>
      </c>
      <c r="T65" s="1">
        <v>5</v>
      </c>
      <c r="U65" s="1">
        <v>1</v>
      </c>
      <c r="V65" s="1">
        <v>207.32509999999999</v>
      </c>
      <c r="W65" s="1">
        <v>-8.6162953611920896E-3</v>
      </c>
      <c r="X65" s="3" t="s">
        <v>174</v>
      </c>
      <c r="Y65" s="4">
        <v>43980</v>
      </c>
      <c r="Z65" s="9">
        <v>2.1263999999999998</v>
      </c>
      <c r="AA65" s="1">
        <v>2020</v>
      </c>
      <c r="AB65" s="1">
        <v>5</v>
      </c>
      <c r="AC65" s="1">
        <v>1</v>
      </c>
      <c r="AD65" s="3">
        <v>2.1263999999999998</v>
      </c>
      <c r="AE65" s="1">
        <v>0.135776092297831</v>
      </c>
      <c r="AF65" s="1" t="s">
        <v>174</v>
      </c>
    </row>
    <row r="66" spans="1:32">
      <c r="A66" s="4">
        <v>44012</v>
      </c>
      <c r="B66" s="5">
        <v>4163.9637000000002</v>
      </c>
      <c r="C66" s="1">
        <v>2020</v>
      </c>
      <c r="D66" s="1">
        <v>6</v>
      </c>
      <c r="E66" s="1">
        <v>1</v>
      </c>
      <c r="F66" s="3">
        <v>4163.9637000000002</v>
      </c>
      <c r="G66" s="3">
        <v>7.6787876524764598E-2</v>
      </c>
      <c r="H66" s="3" t="s">
        <v>174</v>
      </c>
      <c r="I66" s="4">
        <v>44012</v>
      </c>
      <c r="J66" s="5">
        <v>137.97</v>
      </c>
      <c r="K66" s="1">
        <v>2020</v>
      </c>
      <c r="L66" s="1">
        <v>6</v>
      </c>
      <c r="M66" s="1">
        <v>1</v>
      </c>
      <c r="N66" s="3">
        <v>137.97</v>
      </c>
      <c r="O66" s="3">
        <v>4.3330308529945502E-2</v>
      </c>
      <c r="P66" s="3" t="s">
        <v>174</v>
      </c>
      <c r="Q66" s="4">
        <v>44012</v>
      </c>
      <c r="R66" s="5">
        <v>205.9091</v>
      </c>
      <c r="S66" s="1">
        <v>2020</v>
      </c>
      <c r="T66" s="1">
        <v>6</v>
      </c>
      <c r="U66" s="1">
        <v>1</v>
      </c>
      <c r="V66" s="1">
        <v>205.9091</v>
      </c>
      <c r="W66" s="1">
        <v>-6.82985321121271E-3</v>
      </c>
      <c r="X66" s="3" t="s">
        <v>174</v>
      </c>
      <c r="Y66" s="4">
        <v>44012</v>
      </c>
      <c r="Z66" s="9">
        <v>2.2993999999999999</v>
      </c>
      <c r="AA66" s="1">
        <v>2020</v>
      </c>
      <c r="AB66" s="1">
        <v>6</v>
      </c>
      <c r="AC66" s="1">
        <v>1</v>
      </c>
      <c r="AD66" s="3">
        <v>2.2993999999999999</v>
      </c>
      <c r="AE66" s="1">
        <v>8.1358164033107597E-2</v>
      </c>
      <c r="AF66" s="1" t="s">
        <v>174</v>
      </c>
    </row>
    <row r="67" spans="1:32">
      <c r="A67" s="4">
        <v>44043</v>
      </c>
      <c r="B67" s="5">
        <v>4695.0461999999998</v>
      </c>
      <c r="C67" s="1">
        <v>2020</v>
      </c>
      <c r="D67" s="1">
        <v>7</v>
      </c>
      <c r="E67" s="1">
        <v>1</v>
      </c>
      <c r="F67" s="3">
        <v>4695.0461999999998</v>
      </c>
      <c r="G67" s="3">
        <v>0.127542538375154</v>
      </c>
      <c r="H67" s="3" t="s">
        <v>174</v>
      </c>
      <c r="I67" s="4">
        <v>44043</v>
      </c>
      <c r="J67" s="5">
        <v>143.69</v>
      </c>
      <c r="K67" s="1">
        <v>2020</v>
      </c>
      <c r="L67" s="1">
        <v>7</v>
      </c>
      <c r="M67" s="1">
        <v>1</v>
      </c>
      <c r="N67" s="3">
        <v>143.69</v>
      </c>
      <c r="O67" s="3">
        <v>4.1458288033630497E-2</v>
      </c>
      <c r="P67" s="3" t="s">
        <v>174</v>
      </c>
      <c r="Q67" s="4">
        <v>44043</v>
      </c>
      <c r="R67" s="5">
        <v>205.173</v>
      </c>
      <c r="S67" s="1">
        <v>2020</v>
      </c>
      <c r="T67" s="1">
        <v>7</v>
      </c>
      <c r="U67" s="1">
        <v>1</v>
      </c>
      <c r="V67" s="1">
        <v>205.173</v>
      </c>
      <c r="W67" s="1">
        <v>-3.5748784293651598E-3</v>
      </c>
      <c r="X67" s="3" t="s">
        <v>174</v>
      </c>
      <c r="Y67" s="4">
        <v>44043</v>
      </c>
      <c r="Z67" s="9">
        <v>1.921</v>
      </c>
      <c r="AA67" s="1">
        <v>2020</v>
      </c>
      <c r="AB67" s="1">
        <v>7</v>
      </c>
      <c r="AC67" s="1">
        <v>1</v>
      </c>
      <c r="AD67" s="3">
        <v>1.921</v>
      </c>
      <c r="AE67" s="1">
        <v>-0.164564669044098</v>
      </c>
      <c r="AF67" s="1" t="s">
        <v>174</v>
      </c>
    </row>
    <row r="68" spans="1:32">
      <c r="A68" s="4">
        <v>37833</v>
      </c>
      <c r="B68" s="5">
        <v>1222.7370000000001</v>
      </c>
      <c r="C68" s="1">
        <v>2003</v>
      </c>
      <c r="D68" s="1">
        <v>7</v>
      </c>
      <c r="E68" s="1">
        <v>1</v>
      </c>
      <c r="F68" s="3">
        <v>1222.7370000000001</v>
      </c>
      <c r="G68" s="3">
        <v>6.7432548925649297E-3</v>
      </c>
      <c r="H68" s="3" t="s">
        <v>176</v>
      </c>
      <c r="I68" s="4">
        <v>37833</v>
      </c>
      <c r="J68" s="5">
        <v>211.42</v>
      </c>
      <c r="K68" s="1">
        <v>2003</v>
      </c>
      <c r="L68" s="1">
        <v>7</v>
      </c>
      <c r="M68" s="1">
        <v>1</v>
      </c>
      <c r="N68" s="3">
        <v>211.42</v>
      </c>
      <c r="O68" s="3">
        <v>1.2160091918805E-2</v>
      </c>
      <c r="P68" s="3" t="s">
        <v>176</v>
      </c>
      <c r="Q68" s="4">
        <v>37833</v>
      </c>
      <c r="R68" s="5">
        <v>105.791</v>
      </c>
      <c r="S68" s="1">
        <v>2003</v>
      </c>
      <c r="T68" s="1">
        <v>7</v>
      </c>
      <c r="U68" s="1">
        <v>1</v>
      </c>
      <c r="V68" s="1">
        <v>105.791</v>
      </c>
      <c r="W68" s="1">
        <v>4.6724090447201796E-3</v>
      </c>
      <c r="X68" s="3" t="s">
        <v>176</v>
      </c>
      <c r="Y68" s="4">
        <v>37833</v>
      </c>
      <c r="Z68" s="9">
        <v>2.1230000000000002</v>
      </c>
      <c r="AA68" s="1">
        <v>2003</v>
      </c>
      <c r="AB68" s="1">
        <v>7</v>
      </c>
      <c r="AC68" s="1">
        <v>1</v>
      </c>
      <c r="AD68" s="3">
        <v>2.1230000000000002</v>
      </c>
      <c r="AE68" s="1">
        <v>-5.1469931194709898E-2</v>
      </c>
      <c r="AF68" s="1" t="s">
        <v>176</v>
      </c>
    </row>
    <row r="69" spans="1:32">
      <c r="A69" s="4">
        <v>37862</v>
      </c>
      <c r="B69" s="5">
        <v>1178.5740000000001</v>
      </c>
      <c r="C69" s="1">
        <v>2003</v>
      </c>
      <c r="D69" s="1">
        <v>8</v>
      </c>
      <c r="E69" s="1">
        <v>1</v>
      </c>
      <c r="F69" s="3">
        <v>1178.5740000000001</v>
      </c>
      <c r="G69" s="3">
        <v>-3.6118151327718097E-2</v>
      </c>
      <c r="H69" s="3" t="s">
        <v>176</v>
      </c>
      <c r="I69" s="4">
        <v>37862</v>
      </c>
      <c r="J69" s="5">
        <v>220.49</v>
      </c>
      <c r="K69" s="1">
        <v>2003</v>
      </c>
      <c r="L69" s="1">
        <v>8</v>
      </c>
      <c r="M69" s="1">
        <v>1</v>
      </c>
      <c r="N69" s="3">
        <v>220.49</v>
      </c>
      <c r="O69" s="3">
        <v>4.2900387853561699E-2</v>
      </c>
      <c r="P69" s="3" t="s">
        <v>176</v>
      </c>
      <c r="Q69" s="4">
        <v>37862</v>
      </c>
      <c r="R69" s="5">
        <v>105.79</v>
      </c>
      <c r="S69" s="1">
        <v>2003</v>
      </c>
      <c r="T69" s="1">
        <v>8</v>
      </c>
      <c r="U69" s="1">
        <v>1</v>
      </c>
      <c r="V69" s="1">
        <v>105.79</v>
      </c>
      <c r="W69" s="1">
        <v>-9.4525999375236493E-6</v>
      </c>
      <c r="X69" s="3" t="s">
        <v>176</v>
      </c>
      <c r="Y69" s="4">
        <v>37862</v>
      </c>
      <c r="Z69" s="9">
        <v>2.85</v>
      </c>
      <c r="AA69" s="1">
        <v>2003</v>
      </c>
      <c r="AB69" s="1">
        <v>8</v>
      </c>
      <c r="AC69" s="1">
        <v>1</v>
      </c>
      <c r="AD69" s="3">
        <v>2.85</v>
      </c>
      <c r="AE69" s="1">
        <v>0.34243994347621298</v>
      </c>
      <c r="AF69" s="1" t="s">
        <v>176</v>
      </c>
    </row>
    <row r="70" spans="1:32">
      <c r="A70" s="4">
        <v>38868</v>
      </c>
      <c r="B70" s="5">
        <v>1365.451</v>
      </c>
      <c r="C70" s="1">
        <v>2006</v>
      </c>
      <c r="D70" s="1">
        <v>5</v>
      </c>
      <c r="E70" s="1">
        <v>1</v>
      </c>
      <c r="F70" s="3">
        <v>1365.451</v>
      </c>
      <c r="G70" s="3">
        <v>0.164715736893599</v>
      </c>
      <c r="H70" s="3" t="s">
        <v>176</v>
      </c>
      <c r="I70" s="4">
        <v>38868</v>
      </c>
      <c r="J70" s="5">
        <v>344.87</v>
      </c>
      <c r="K70" s="1">
        <v>2006</v>
      </c>
      <c r="L70" s="1">
        <v>5</v>
      </c>
      <c r="M70" s="1">
        <v>1</v>
      </c>
      <c r="N70" s="3">
        <v>344.87</v>
      </c>
      <c r="O70" s="3">
        <v>-1.43473663151276E-2</v>
      </c>
      <c r="P70" s="3" t="s">
        <v>176</v>
      </c>
      <c r="Q70" s="4">
        <v>38868</v>
      </c>
      <c r="R70" s="5">
        <v>117.13500000000001</v>
      </c>
      <c r="S70" s="1">
        <v>2006</v>
      </c>
      <c r="T70" s="1">
        <v>5</v>
      </c>
      <c r="U70" s="1">
        <v>1</v>
      </c>
      <c r="V70" s="1">
        <v>117.13500000000001</v>
      </c>
      <c r="W70" s="1">
        <v>1.8988478612302199E-3</v>
      </c>
      <c r="X70" s="3" t="s">
        <v>176</v>
      </c>
      <c r="Y70" s="4">
        <v>38868</v>
      </c>
      <c r="Z70" s="9">
        <v>1.4968999999999999</v>
      </c>
      <c r="AA70" s="1">
        <v>2006</v>
      </c>
      <c r="AB70" s="1">
        <v>5</v>
      </c>
      <c r="AC70" s="1">
        <v>1</v>
      </c>
      <c r="AD70" s="3">
        <v>1.4968999999999999</v>
      </c>
      <c r="AE70" s="1">
        <v>-3.7610903947537598E-2</v>
      </c>
      <c r="AF70" s="1" t="s">
        <v>176</v>
      </c>
    </row>
    <row r="71" spans="1:32">
      <c r="A71" s="4">
        <v>38898</v>
      </c>
      <c r="B71" s="5">
        <v>1393.963</v>
      </c>
      <c r="C71" s="1">
        <v>2006</v>
      </c>
      <c r="D71" s="1">
        <v>6</v>
      </c>
      <c r="E71" s="1">
        <v>1</v>
      </c>
      <c r="F71" s="3">
        <v>1393.963</v>
      </c>
      <c r="G71" s="3">
        <v>2.0881012940046899E-2</v>
      </c>
      <c r="H71" s="3" t="s">
        <v>176</v>
      </c>
      <c r="I71" s="4">
        <v>38898</v>
      </c>
      <c r="J71" s="5">
        <v>346.39</v>
      </c>
      <c r="K71" s="1">
        <v>2006</v>
      </c>
      <c r="L71" s="1">
        <v>6</v>
      </c>
      <c r="M71" s="1">
        <v>1</v>
      </c>
      <c r="N71" s="3">
        <v>346.39</v>
      </c>
      <c r="O71" s="3">
        <v>4.4074578826803802E-3</v>
      </c>
      <c r="P71" s="3" t="s">
        <v>176</v>
      </c>
      <c r="Q71" s="4">
        <v>38898</v>
      </c>
      <c r="R71" s="5">
        <v>116.369</v>
      </c>
      <c r="S71" s="1">
        <v>2006</v>
      </c>
      <c r="T71" s="1">
        <v>6</v>
      </c>
      <c r="U71" s="1">
        <v>1</v>
      </c>
      <c r="V71" s="1">
        <v>116.369</v>
      </c>
      <c r="W71" s="1">
        <v>-6.5394630127631002E-3</v>
      </c>
      <c r="X71" s="3" t="s">
        <v>176</v>
      </c>
      <c r="Y71" s="4">
        <v>38898</v>
      </c>
      <c r="Z71" s="9">
        <v>1.7297</v>
      </c>
      <c r="AA71" s="1">
        <v>2006</v>
      </c>
      <c r="AB71" s="1">
        <v>6</v>
      </c>
      <c r="AC71" s="1">
        <v>1</v>
      </c>
      <c r="AD71" s="3">
        <v>1.7297</v>
      </c>
      <c r="AE71" s="1">
        <v>0.155521410915893</v>
      </c>
      <c r="AF71" s="1" t="s">
        <v>176</v>
      </c>
    </row>
    <row r="72" spans="1:32">
      <c r="A72" s="4">
        <v>38929</v>
      </c>
      <c r="B72" s="5">
        <v>1294.328</v>
      </c>
      <c r="C72" s="1">
        <v>2006</v>
      </c>
      <c r="D72" s="1">
        <v>7</v>
      </c>
      <c r="E72" s="1">
        <v>1</v>
      </c>
      <c r="F72" s="3">
        <v>1294.328</v>
      </c>
      <c r="G72" s="3">
        <v>-7.1476072176951594E-2</v>
      </c>
      <c r="H72" s="3" t="s">
        <v>176</v>
      </c>
      <c r="I72" s="4">
        <v>38929</v>
      </c>
      <c r="J72" s="5">
        <v>349.83</v>
      </c>
      <c r="K72" s="1">
        <v>2006</v>
      </c>
      <c r="L72" s="1">
        <v>7</v>
      </c>
      <c r="M72" s="1">
        <v>1</v>
      </c>
      <c r="N72" s="3">
        <v>349.83</v>
      </c>
      <c r="O72" s="3">
        <v>9.9310026270966207E-3</v>
      </c>
      <c r="P72" s="3" t="s">
        <v>176</v>
      </c>
      <c r="Q72" s="4">
        <v>38929</v>
      </c>
      <c r="R72" s="5">
        <v>116.258</v>
      </c>
      <c r="S72" s="1">
        <v>2006</v>
      </c>
      <c r="T72" s="1">
        <v>7</v>
      </c>
      <c r="U72" s="1">
        <v>1</v>
      </c>
      <c r="V72" s="1">
        <v>116.258</v>
      </c>
      <c r="W72" s="1">
        <v>-9.5386228291043302E-4</v>
      </c>
      <c r="X72" s="3" t="s">
        <v>176</v>
      </c>
      <c r="Y72" s="4">
        <v>38929</v>
      </c>
      <c r="Z72" s="9">
        <v>2.4701</v>
      </c>
      <c r="AA72" s="1">
        <v>2006</v>
      </c>
      <c r="AB72" s="1">
        <v>7</v>
      </c>
      <c r="AC72" s="1">
        <v>1</v>
      </c>
      <c r="AD72" s="3">
        <v>2.4701</v>
      </c>
      <c r="AE72" s="1">
        <v>0.428051107128404</v>
      </c>
      <c r="AF72" s="1" t="s">
        <v>176</v>
      </c>
    </row>
    <row r="73" spans="1:32">
      <c r="A73" s="4">
        <v>38960</v>
      </c>
      <c r="B73" s="5">
        <v>1338.694</v>
      </c>
      <c r="C73" s="1">
        <v>2006</v>
      </c>
      <c r="D73" s="1">
        <v>8</v>
      </c>
      <c r="E73" s="1">
        <v>1</v>
      </c>
      <c r="F73" s="3">
        <v>1338.694</v>
      </c>
      <c r="G73" s="3">
        <v>3.4277246571193701E-2</v>
      </c>
      <c r="H73" s="3" t="s">
        <v>176</v>
      </c>
      <c r="I73" s="4">
        <v>38960</v>
      </c>
      <c r="J73" s="5">
        <v>329.02</v>
      </c>
      <c r="K73" s="1">
        <v>2006</v>
      </c>
      <c r="L73" s="1">
        <v>8</v>
      </c>
      <c r="M73" s="1">
        <v>1</v>
      </c>
      <c r="N73" s="3">
        <v>329.02</v>
      </c>
      <c r="O73" s="3">
        <v>-5.9486036074664801E-2</v>
      </c>
      <c r="P73" s="3" t="s">
        <v>176</v>
      </c>
      <c r="Q73" s="4">
        <v>38960</v>
      </c>
      <c r="R73" s="5">
        <v>116.804</v>
      </c>
      <c r="S73" s="1">
        <v>2006</v>
      </c>
      <c r="T73" s="1">
        <v>8</v>
      </c>
      <c r="U73" s="1">
        <v>1</v>
      </c>
      <c r="V73" s="1">
        <v>116.804</v>
      </c>
      <c r="W73" s="1">
        <v>4.6964509969207001E-3</v>
      </c>
      <c r="X73" s="3" t="s">
        <v>176</v>
      </c>
      <c r="Y73" s="4">
        <v>38960</v>
      </c>
      <c r="Z73" s="9">
        <v>2.0768</v>
      </c>
      <c r="AA73" s="1">
        <v>2006</v>
      </c>
      <c r="AB73" s="1">
        <v>8</v>
      </c>
      <c r="AC73" s="1">
        <v>1</v>
      </c>
      <c r="AD73" s="3">
        <v>2.0768</v>
      </c>
      <c r="AE73" s="1">
        <v>-0.15922432290190699</v>
      </c>
      <c r="AF73" s="1" t="s">
        <v>176</v>
      </c>
    </row>
    <row r="74" spans="1:32">
      <c r="A74" s="4">
        <v>38989</v>
      </c>
      <c r="B74" s="5">
        <v>1403.2650000000001</v>
      </c>
      <c r="C74" s="1">
        <v>2006</v>
      </c>
      <c r="D74" s="1">
        <v>9</v>
      </c>
      <c r="E74" s="1">
        <v>1</v>
      </c>
      <c r="F74" s="3">
        <v>1403.2650000000001</v>
      </c>
      <c r="G74" s="3">
        <v>4.8234323900757103E-2</v>
      </c>
      <c r="H74" s="3" t="s">
        <v>176</v>
      </c>
      <c r="I74" s="4">
        <v>38989</v>
      </c>
      <c r="J74" s="5">
        <v>305.58</v>
      </c>
      <c r="K74" s="1">
        <v>2006</v>
      </c>
      <c r="L74" s="1">
        <v>9</v>
      </c>
      <c r="M74" s="1">
        <v>1</v>
      </c>
      <c r="N74" s="3">
        <v>305.58</v>
      </c>
      <c r="O74" s="3">
        <v>-7.1241869795149196E-2</v>
      </c>
      <c r="P74" s="3" t="s">
        <v>176</v>
      </c>
      <c r="Q74" s="4">
        <v>38989</v>
      </c>
      <c r="R74" s="5">
        <v>117.744</v>
      </c>
      <c r="S74" s="1">
        <v>2006</v>
      </c>
      <c r="T74" s="1">
        <v>9</v>
      </c>
      <c r="U74" s="1">
        <v>1</v>
      </c>
      <c r="V74" s="1">
        <v>117.744</v>
      </c>
      <c r="W74" s="1">
        <v>8.0476696003561297E-3</v>
      </c>
      <c r="X74" s="3" t="s">
        <v>176</v>
      </c>
      <c r="Y74" s="4">
        <v>38990</v>
      </c>
      <c r="Z74" s="9">
        <v>2.1067999999999998</v>
      </c>
      <c r="AA74" s="1">
        <v>2006</v>
      </c>
      <c r="AB74" s="1">
        <v>9</v>
      </c>
      <c r="AC74" s="1">
        <v>1</v>
      </c>
      <c r="AD74" s="3">
        <v>2.1067999999999998</v>
      </c>
      <c r="AE74" s="1">
        <v>1.44453004622495E-2</v>
      </c>
      <c r="AF74" s="1" t="s">
        <v>176</v>
      </c>
    </row>
    <row r="75" spans="1:32">
      <c r="A75" s="4">
        <v>39021</v>
      </c>
      <c r="B75" s="5">
        <v>1464.473</v>
      </c>
      <c r="C75" s="1">
        <v>2006</v>
      </c>
      <c r="D75" s="1">
        <v>10</v>
      </c>
      <c r="E75" s="1">
        <v>1</v>
      </c>
      <c r="F75" s="3">
        <v>1464.473</v>
      </c>
      <c r="G75" s="3">
        <v>4.36182759493038E-2</v>
      </c>
      <c r="H75" s="3" t="s">
        <v>176</v>
      </c>
      <c r="I75" s="4">
        <v>39021</v>
      </c>
      <c r="J75" s="5">
        <v>305.87</v>
      </c>
      <c r="K75" s="1">
        <v>2006</v>
      </c>
      <c r="L75" s="1">
        <v>10</v>
      </c>
      <c r="M75" s="1">
        <v>1</v>
      </c>
      <c r="N75" s="3">
        <v>305.87</v>
      </c>
      <c r="O75" s="3">
        <v>9.4901498789194498E-4</v>
      </c>
      <c r="P75" s="3" t="s">
        <v>176</v>
      </c>
      <c r="Q75" s="4">
        <v>39021</v>
      </c>
      <c r="R75" s="5">
        <v>118.434</v>
      </c>
      <c r="S75" s="1">
        <v>2006</v>
      </c>
      <c r="T75" s="1">
        <v>10</v>
      </c>
      <c r="U75" s="1">
        <v>1</v>
      </c>
      <c r="V75" s="1">
        <v>118.434</v>
      </c>
      <c r="W75" s="1">
        <v>5.8601712189155896E-3</v>
      </c>
      <c r="X75" s="3" t="s">
        <v>176</v>
      </c>
      <c r="Y75" s="4">
        <v>39021</v>
      </c>
      <c r="Z75" s="9">
        <v>2.1911999999999998</v>
      </c>
      <c r="AA75" s="1">
        <v>2006</v>
      </c>
      <c r="AB75" s="1">
        <v>10</v>
      </c>
      <c r="AC75" s="1">
        <v>1</v>
      </c>
      <c r="AD75" s="3">
        <v>2.1911999999999998</v>
      </c>
      <c r="AE75" s="1">
        <v>4.0060755648376703E-2</v>
      </c>
      <c r="AF75" s="1" t="s">
        <v>176</v>
      </c>
    </row>
    <row r="76" spans="1:32">
      <c r="A76" s="4">
        <v>39051</v>
      </c>
      <c r="B76" s="5">
        <v>1714.3579999999999</v>
      </c>
      <c r="C76" s="1">
        <v>2006</v>
      </c>
      <c r="D76" s="1">
        <v>11</v>
      </c>
      <c r="E76" s="1">
        <v>1</v>
      </c>
      <c r="F76" s="3">
        <v>1714.3579999999999</v>
      </c>
      <c r="G76" s="3">
        <v>0.17063134656630699</v>
      </c>
      <c r="H76" s="3" t="s">
        <v>176</v>
      </c>
      <c r="I76" s="4">
        <v>39051</v>
      </c>
      <c r="J76" s="5">
        <v>321.52999999999997</v>
      </c>
      <c r="K76" s="1">
        <v>2006</v>
      </c>
      <c r="L76" s="1">
        <v>11</v>
      </c>
      <c r="M76" s="1">
        <v>1</v>
      </c>
      <c r="N76" s="3">
        <v>321.52999999999997</v>
      </c>
      <c r="O76" s="3">
        <v>5.1198221466636003E-2</v>
      </c>
      <c r="P76" s="3" t="s">
        <v>176</v>
      </c>
      <c r="Q76" s="4">
        <v>39051</v>
      </c>
      <c r="R76" s="5">
        <v>118.85599999999999</v>
      </c>
      <c r="S76" s="1">
        <v>2006</v>
      </c>
      <c r="T76" s="1">
        <v>11</v>
      </c>
      <c r="U76" s="1">
        <v>1</v>
      </c>
      <c r="V76" s="1">
        <v>118.85599999999999</v>
      </c>
      <c r="W76" s="1">
        <v>3.56316598274142E-3</v>
      </c>
      <c r="X76" s="3" t="s">
        <v>176</v>
      </c>
      <c r="Y76" s="4">
        <v>39051</v>
      </c>
      <c r="Z76" s="9">
        <v>2.3441999999999998</v>
      </c>
      <c r="AA76" s="1">
        <v>2006</v>
      </c>
      <c r="AB76" s="1">
        <v>11</v>
      </c>
      <c r="AC76" s="1">
        <v>1</v>
      </c>
      <c r="AD76" s="3">
        <v>2.3441999999999998</v>
      </c>
      <c r="AE76" s="1">
        <v>6.9824753559693295E-2</v>
      </c>
      <c r="AF76" s="1" t="s">
        <v>176</v>
      </c>
    </row>
    <row r="77" spans="1:32">
      <c r="A77" s="4">
        <v>39080</v>
      </c>
      <c r="B77" s="5">
        <v>2041.047</v>
      </c>
      <c r="C77" s="1">
        <v>2006</v>
      </c>
      <c r="D77" s="1">
        <v>12</v>
      </c>
      <c r="E77" s="1">
        <v>-11</v>
      </c>
      <c r="F77" s="3">
        <v>2041.047</v>
      </c>
      <c r="G77" s="3">
        <v>0.19056054803022501</v>
      </c>
      <c r="H77" s="3" t="s">
        <v>176</v>
      </c>
      <c r="I77" s="4">
        <v>39080</v>
      </c>
      <c r="J77" s="5">
        <v>307.26</v>
      </c>
      <c r="K77" s="1">
        <v>2006</v>
      </c>
      <c r="L77" s="1">
        <v>12</v>
      </c>
      <c r="M77" s="1">
        <v>-11</v>
      </c>
      <c r="N77" s="3">
        <v>307.26</v>
      </c>
      <c r="O77" s="3">
        <v>-4.4381550710664602E-2</v>
      </c>
      <c r="P77" s="3" t="s">
        <v>176</v>
      </c>
      <c r="Q77" s="4">
        <v>39080</v>
      </c>
      <c r="R77" s="5">
        <v>118.961</v>
      </c>
      <c r="S77" s="1">
        <v>2006</v>
      </c>
      <c r="T77" s="1">
        <v>12</v>
      </c>
      <c r="U77" s="1">
        <v>-11</v>
      </c>
      <c r="V77" s="1">
        <v>118.961</v>
      </c>
      <c r="W77" s="1">
        <v>8.8342195598038005E-4</v>
      </c>
      <c r="X77" s="3" t="s">
        <v>176</v>
      </c>
      <c r="Y77" s="4">
        <v>39082</v>
      </c>
      <c r="Z77" s="9">
        <v>1.4308000000000001</v>
      </c>
      <c r="AA77" s="1">
        <v>2006</v>
      </c>
      <c r="AB77" s="1">
        <v>12</v>
      </c>
      <c r="AC77" s="1">
        <v>-11</v>
      </c>
      <c r="AD77" s="3">
        <v>1.4308000000000001</v>
      </c>
      <c r="AE77" s="1">
        <v>-0.38964252196911497</v>
      </c>
      <c r="AF77" s="1" t="s">
        <v>176</v>
      </c>
    </row>
    <row r="78" spans="1:32">
      <c r="A78" s="4">
        <v>39113</v>
      </c>
      <c r="B78" s="5">
        <v>2385.335</v>
      </c>
      <c r="C78" s="1">
        <v>2007</v>
      </c>
      <c r="D78" s="1">
        <v>1</v>
      </c>
      <c r="E78" s="1">
        <v>1</v>
      </c>
      <c r="F78" s="3">
        <v>2385.335</v>
      </c>
      <c r="G78" s="3">
        <v>0.168682053867451</v>
      </c>
      <c r="H78" s="3" t="s">
        <v>176</v>
      </c>
      <c r="I78" s="4">
        <v>39113</v>
      </c>
      <c r="J78" s="5">
        <v>301.22000000000003</v>
      </c>
      <c r="K78" s="1">
        <v>2007</v>
      </c>
      <c r="L78" s="1">
        <v>1</v>
      </c>
      <c r="M78" s="1">
        <v>1</v>
      </c>
      <c r="N78" s="3">
        <v>301.22000000000003</v>
      </c>
      <c r="O78" s="3">
        <v>-1.9657618954631102E-2</v>
      </c>
      <c r="P78" s="3" t="s">
        <v>176</v>
      </c>
      <c r="Q78" s="4">
        <v>39113</v>
      </c>
      <c r="R78" s="5">
        <v>119.229</v>
      </c>
      <c r="S78" s="1">
        <v>2007</v>
      </c>
      <c r="T78" s="1">
        <v>1</v>
      </c>
      <c r="U78" s="1">
        <v>1</v>
      </c>
      <c r="V78" s="1">
        <v>119.229</v>
      </c>
      <c r="W78" s="1">
        <v>2.2528391657770301E-3</v>
      </c>
      <c r="X78" s="3" t="s">
        <v>176</v>
      </c>
      <c r="Y78" s="4">
        <v>39113</v>
      </c>
      <c r="Z78" s="9">
        <v>1.7643</v>
      </c>
      <c r="AA78" s="1">
        <v>2007</v>
      </c>
      <c r="AB78" s="1">
        <v>1</v>
      </c>
      <c r="AC78" s="1">
        <v>1</v>
      </c>
      <c r="AD78" s="3">
        <v>1.7643</v>
      </c>
      <c r="AE78" s="1">
        <v>0.233086385239027</v>
      </c>
      <c r="AF78" s="1" t="s">
        <v>176</v>
      </c>
    </row>
    <row r="79" spans="1:32">
      <c r="A79" s="4">
        <v>39141</v>
      </c>
      <c r="B79" s="5">
        <v>2544.5709999999999</v>
      </c>
      <c r="C79" s="1">
        <v>2007</v>
      </c>
      <c r="D79" s="1">
        <v>2</v>
      </c>
      <c r="E79" s="1">
        <v>1</v>
      </c>
      <c r="F79" s="3">
        <v>2544.5709999999999</v>
      </c>
      <c r="G79" s="3">
        <v>6.6756241785744894E-2</v>
      </c>
      <c r="H79" s="3" t="s">
        <v>176</v>
      </c>
      <c r="I79" s="4">
        <v>39141</v>
      </c>
      <c r="J79" s="5">
        <v>312.39</v>
      </c>
      <c r="K79" s="1">
        <v>2007</v>
      </c>
      <c r="L79" s="1">
        <v>2</v>
      </c>
      <c r="M79" s="1">
        <v>1</v>
      </c>
      <c r="N79" s="3">
        <v>312.39</v>
      </c>
      <c r="O79" s="3">
        <v>3.70825310404354E-2</v>
      </c>
      <c r="P79" s="3" t="s">
        <v>176</v>
      </c>
      <c r="Q79" s="4">
        <v>39141</v>
      </c>
      <c r="R79" s="5">
        <v>119.286</v>
      </c>
      <c r="S79" s="1">
        <v>2007</v>
      </c>
      <c r="T79" s="1">
        <v>2</v>
      </c>
      <c r="U79" s="1">
        <v>1</v>
      </c>
      <c r="V79" s="1">
        <v>119.286</v>
      </c>
      <c r="W79" s="1">
        <v>4.7807161009487799E-4</v>
      </c>
      <c r="X79" s="3" t="s">
        <v>176</v>
      </c>
      <c r="Y79" s="4">
        <v>39141</v>
      </c>
      <c r="Z79" s="9">
        <v>1.631</v>
      </c>
      <c r="AA79" s="1">
        <v>2007</v>
      </c>
      <c r="AB79" s="1">
        <v>2</v>
      </c>
      <c r="AC79" s="1">
        <v>1</v>
      </c>
      <c r="AD79" s="3">
        <v>1.631</v>
      </c>
      <c r="AE79" s="1">
        <v>-7.5554044096808895E-2</v>
      </c>
      <c r="AF79" s="1" t="s">
        <v>176</v>
      </c>
    </row>
    <row r="80" spans="1:32">
      <c r="A80" s="4">
        <v>39171</v>
      </c>
      <c r="B80" s="5">
        <v>2781.7840000000001</v>
      </c>
      <c r="C80" s="1">
        <v>2007</v>
      </c>
      <c r="D80" s="1">
        <v>3</v>
      </c>
      <c r="E80" s="1">
        <v>1</v>
      </c>
      <c r="F80" s="3">
        <v>2781.7840000000001</v>
      </c>
      <c r="G80" s="3">
        <v>9.3223179860180805E-2</v>
      </c>
      <c r="H80" s="3" t="s">
        <v>176</v>
      </c>
      <c r="I80" s="4">
        <v>39171</v>
      </c>
      <c r="J80" s="5">
        <v>316.88</v>
      </c>
      <c r="K80" s="1">
        <v>2007</v>
      </c>
      <c r="L80" s="1">
        <v>3</v>
      </c>
      <c r="M80" s="1">
        <v>1</v>
      </c>
      <c r="N80" s="3">
        <v>316.88</v>
      </c>
      <c r="O80" s="3">
        <v>1.4373059316879599E-2</v>
      </c>
      <c r="P80" s="3" t="s">
        <v>176</v>
      </c>
      <c r="Q80" s="4">
        <v>39171</v>
      </c>
      <c r="R80" s="5">
        <v>119.02800000000001</v>
      </c>
      <c r="S80" s="1">
        <v>2007</v>
      </c>
      <c r="T80" s="1">
        <v>3</v>
      </c>
      <c r="U80" s="1">
        <v>1</v>
      </c>
      <c r="V80" s="1">
        <v>119.02800000000001</v>
      </c>
      <c r="W80" s="1">
        <v>-2.1628690709722502E-3</v>
      </c>
      <c r="X80" s="3" t="s">
        <v>176</v>
      </c>
      <c r="Y80" s="4">
        <v>39171</v>
      </c>
      <c r="Z80" s="9">
        <v>1.8009999999999999</v>
      </c>
      <c r="AA80" s="1">
        <v>2007</v>
      </c>
      <c r="AB80" s="1">
        <v>3</v>
      </c>
      <c r="AC80" s="1">
        <v>1</v>
      </c>
      <c r="AD80" s="3">
        <v>1.8009999999999999</v>
      </c>
      <c r="AE80" s="1">
        <v>0.104230533415083</v>
      </c>
      <c r="AF80" s="1" t="s">
        <v>176</v>
      </c>
    </row>
    <row r="81" spans="1:32">
      <c r="A81" s="4">
        <v>39202</v>
      </c>
      <c r="B81" s="5">
        <v>3558.7089999999998</v>
      </c>
      <c r="C81" s="1">
        <v>2007</v>
      </c>
      <c r="D81" s="1">
        <v>4</v>
      </c>
      <c r="E81" s="1">
        <v>1</v>
      </c>
      <c r="F81" s="3">
        <v>3558.7089999999998</v>
      </c>
      <c r="G81" s="3">
        <v>0.27929019650699</v>
      </c>
      <c r="H81" s="3" t="s">
        <v>176</v>
      </c>
      <c r="I81" s="4">
        <v>39202</v>
      </c>
      <c r="J81" s="5">
        <v>312.70999999999998</v>
      </c>
      <c r="K81" s="1">
        <v>2007</v>
      </c>
      <c r="L81" s="1">
        <v>4</v>
      </c>
      <c r="M81" s="1">
        <v>1</v>
      </c>
      <c r="N81" s="3">
        <v>312.70999999999998</v>
      </c>
      <c r="O81" s="3">
        <v>-1.3159555667760701E-2</v>
      </c>
      <c r="P81" s="3" t="s">
        <v>176</v>
      </c>
      <c r="Q81" s="4">
        <v>39202</v>
      </c>
      <c r="R81" s="5">
        <v>118.876</v>
      </c>
      <c r="S81" s="1">
        <v>2007</v>
      </c>
      <c r="T81" s="1">
        <v>4</v>
      </c>
      <c r="U81" s="1">
        <v>1</v>
      </c>
      <c r="V81" s="1">
        <v>118.876</v>
      </c>
      <c r="W81" s="1">
        <v>-1.2770104513223899E-3</v>
      </c>
      <c r="X81" s="3" t="s">
        <v>176</v>
      </c>
      <c r="Y81" s="4">
        <v>39202</v>
      </c>
      <c r="Z81" s="9">
        <v>1.6431</v>
      </c>
      <c r="AA81" s="1">
        <v>2007</v>
      </c>
      <c r="AB81" s="1">
        <v>4</v>
      </c>
      <c r="AC81" s="1">
        <v>1</v>
      </c>
      <c r="AD81" s="3">
        <v>1.6431</v>
      </c>
      <c r="AE81" s="1">
        <v>-8.7673514714047704E-2</v>
      </c>
      <c r="AF81" s="1" t="s">
        <v>176</v>
      </c>
    </row>
    <row r="82" spans="1:32">
      <c r="A82" s="4">
        <v>39233</v>
      </c>
      <c r="B82" s="5">
        <v>3927.9520000000002</v>
      </c>
      <c r="C82" s="1">
        <v>2007</v>
      </c>
      <c r="D82" s="1">
        <v>5</v>
      </c>
      <c r="E82" s="1">
        <v>1</v>
      </c>
      <c r="F82" s="3">
        <v>3927.9520000000002</v>
      </c>
      <c r="G82" s="3">
        <v>0.103757570512228</v>
      </c>
      <c r="H82" s="3" t="s">
        <v>176</v>
      </c>
      <c r="I82" s="4">
        <v>39233</v>
      </c>
      <c r="J82" s="5">
        <v>311.45999999999998</v>
      </c>
      <c r="K82" s="1">
        <v>2007</v>
      </c>
      <c r="L82" s="1">
        <v>5</v>
      </c>
      <c r="M82" s="1">
        <v>1</v>
      </c>
      <c r="N82" s="3">
        <v>311.45999999999998</v>
      </c>
      <c r="O82" s="3">
        <v>-3.9973138051229602E-3</v>
      </c>
      <c r="P82" s="3" t="s">
        <v>176</v>
      </c>
      <c r="Q82" s="4">
        <v>39233</v>
      </c>
      <c r="R82" s="5">
        <v>117.98099999999999</v>
      </c>
      <c r="S82" s="1">
        <v>2007</v>
      </c>
      <c r="T82" s="1">
        <v>5</v>
      </c>
      <c r="U82" s="1">
        <v>1</v>
      </c>
      <c r="V82" s="1">
        <v>117.98099999999999</v>
      </c>
      <c r="W82" s="1">
        <v>-7.5288535953431301E-3</v>
      </c>
      <c r="X82" s="3" t="s">
        <v>176</v>
      </c>
      <c r="Y82" s="4">
        <v>39233</v>
      </c>
      <c r="Z82" s="9">
        <v>1.7917000000000001</v>
      </c>
      <c r="AA82" s="1">
        <v>2007</v>
      </c>
      <c r="AB82" s="1">
        <v>5</v>
      </c>
      <c r="AC82" s="1">
        <v>1</v>
      </c>
      <c r="AD82" s="3">
        <v>1.7917000000000001</v>
      </c>
      <c r="AE82" s="1">
        <v>9.0438804698435904E-2</v>
      </c>
      <c r="AF82" s="1" t="s">
        <v>176</v>
      </c>
    </row>
    <row r="83" spans="1:32">
      <c r="A83" s="4">
        <v>39262</v>
      </c>
      <c r="B83" s="5">
        <v>3764.078</v>
      </c>
      <c r="C83" s="1">
        <v>2007</v>
      </c>
      <c r="D83" s="1">
        <v>6</v>
      </c>
      <c r="E83" s="1">
        <v>1</v>
      </c>
      <c r="F83" s="3">
        <v>3764.078</v>
      </c>
      <c r="G83" s="3">
        <v>-4.1719959918043899E-2</v>
      </c>
      <c r="H83" s="3" t="s">
        <v>176</v>
      </c>
      <c r="I83" s="4">
        <v>39262</v>
      </c>
      <c r="J83" s="5">
        <v>315.74</v>
      </c>
      <c r="K83" s="1">
        <v>2007</v>
      </c>
      <c r="L83" s="1">
        <v>6</v>
      </c>
      <c r="M83" s="1">
        <v>1</v>
      </c>
      <c r="N83" s="3">
        <v>315.74</v>
      </c>
      <c r="O83" s="3">
        <v>1.3741732485712499E-2</v>
      </c>
      <c r="P83" s="3" t="s">
        <v>176</v>
      </c>
      <c r="Q83" s="4">
        <v>39262</v>
      </c>
      <c r="R83" s="5">
        <v>116.94</v>
      </c>
      <c r="S83" s="1">
        <v>2007</v>
      </c>
      <c r="T83" s="1">
        <v>6</v>
      </c>
      <c r="U83" s="1">
        <v>1</v>
      </c>
      <c r="V83" s="1">
        <v>116.94</v>
      </c>
      <c r="W83" s="1">
        <v>-8.8234546240496103E-3</v>
      </c>
      <c r="X83" s="3" t="s">
        <v>176</v>
      </c>
      <c r="Y83" s="4">
        <v>39262</v>
      </c>
      <c r="Z83" s="9">
        <v>1.7738</v>
      </c>
      <c r="AA83" s="1">
        <v>2007</v>
      </c>
      <c r="AB83" s="1">
        <v>6</v>
      </c>
      <c r="AC83" s="1">
        <v>1</v>
      </c>
      <c r="AD83" s="3">
        <v>1.7738</v>
      </c>
      <c r="AE83" s="1">
        <v>-9.9905118044315601E-3</v>
      </c>
      <c r="AF83" s="1" t="s">
        <v>176</v>
      </c>
    </row>
    <row r="84" spans="1:32">
      <c r="A84" s="4">
        <v>39294</v>
      </c>
      <c r="B84" s="5">
        <v>4460.5640000000003</v>
      </c>
      <c r="C84" s="1">
        <v>2007</v>
      </c>
      <c r="D84" s="1">
        <v>7</v>
      </c>
      <c r="E84" s="1">
        <v>1</v>
      </c>
      <c r="F84" s="3">
        <v>4460.5640000000003</v>
      </c>
      <c r="G84" s="3">
        <v>0.18503495411094001</v>
      </c>
      <c r="H84" s="3" t="s">
        <v>176</v>
      </c>
      <c r="I84" s="4">
        <v>39294</v>
      </c>
      <c r="J84" s="5">
        <v>324.10000000000002</v>
      </c>
      <c r="K84" s="1">
        <v>2007</v>
      </c>
      <c r="L84" s="1">
        <v>7</v>
      </c>
      <c r="M84" s="1">
        <v>1</v>
      </c>
      <c r="N84" s="3">
        <v>324.10000000000002</v>
      </c>
      <c r="O84" s="3">
        <v>2.6477481472097299E-2</v>
      </c>
      <c r="P84" s="3" t="s">
        <v>176</v>
      </c>
      <c r="Q84" s="4">
        <v>39294</v>
      </c>
      <c r="R84" s="5">
        <v>117.34</v>
      </c>
      <c r="S84" s="1">
        <v>2007</v>
      </c>
      <c r="T84" s="1">
        <v>7</v>
      </c>
      <c r="U84" s="1">
        <v>1</v>
      </c>
      <c r="V84" s="1">
        <v>117.34</v>
      </c>
      <c r="W84" s="1">
        <v>3.4205575508808399E-3</v>
      </c>
      <c r="X84" s="3" t="s">
        <v>176</v>
      </c>
      <c r="Y84" s="4">
        <v>39294</v>
      </c>
      <c r="Z84" s="9">
        <v>2.0299</v>
      </c>
      <c r="AA84" s="1">
        <v>2007</v>
      </c>
      <c r="AB84" s="1">
        <v>7</v>
      </c>
      <c r="AC84" s="1">
        <v>1</v>
      </c>
      <c r="AD84" s="3">
        <v>2.0299</v>
      </c>
      <c r="AE84" s="1">
        <v>0.14437929868079799</v>
      </c>
      <c r="AF84" s="1" t="s">
        <v>176</v>
      </c>
    </row>
    <row r="85" spans="1:32">
      <c r="A85" s="4">
        <v>39325</v>
      </c>
      <c r="B85" s="5">
        <v>5296.8130000000001</v>
      </c>
      <c r="C85" s="1">
        <v>2007</v>
      </c>
      <c r="D85" s="1">
        <v>8</v>
      </c>
      <c r="E85" s="1">
        <v>1</v>
      </c>
      <c r="F85" s="3">
        <v>5296.8130000000001</v>
      </c>
      <c r="G85" s="3">
        <v>0.18747606804879399</v>
      </c>
      <c r="H85" s="3" t="s">
        <v>176</v>
      </c>
      <c r="I85" s="4">
        <v>39325</v>
      </c>
      <c r="J85" s="5">
        <v>308.76</v>
      </c>
      <c r="K85" s="1">
        <v>2007</v>
      </c>
      <c r="L85" s="1">
        <v>8</v>
      </c>
      <c r="M85" s="1">
        <v>1</v>
      </c>
      <c r="N85" s="3">
        <v>308.76</v>
      </c>
      <c r="O85" s="3">
        <v>-4.7331070657204703E-2</v>
      </c>
      <c r="P85" s="3" t="s">
        <v>176</v>
      </c>
      <c r="Q85" s="4">
        <v>39325</v>
      </c>
      <c r="R85" s="5">
        <v>117.914</v>
      </c>
      <c r="S85" s="1">
        <v>2007</v>
      </c>
      <c r="T85" s="1">
        <v>8</v>
      </c>
      <c r="U85" s="1">
        <v>1</v>
      </c>
      <c r="V85" s="1">
        <v>117.914</v>
      </c>
      <c r="W85" s="1">
        <v>4.8917675132094602E-3</v>
      </c>
      <c r="X85" s="3" t="s">
        <v>176</v>
      </c>
      <c r="Y85" s="4">
        <v>39325</v>
      </c>
      <c r="Z85" s="9">
        <v>1.8714</v>
      </c>
      <c r="AA85" s="1">
        <v>2007</v>
      </c>
      <c r="AB85" s="1">
        <v>8</v>
      </c>
      <c r="AC85" s="1">
        <v>1</v>
      </c>
      <c r="AD85" s="3">
        <v>1.8714</v>
      </c>
      <c r="AE85" s="1">
        <v>-7.8082664170648797E-2</v>
      </c>
      <c r="AF85" s="1" t="s">
        <v>176</v>
      </c>
    </row>
    <row r="86" spans="1:32">
      <c r="A86" s="4">
        <v>39353</v>
      </c>
      <c r="B86" s="5">
        <v>5580.8130000000001</v>
      </c>
      <c r="C86" s="1">
        <v>2007</v>
      </c>
      <c r="D86" s="1">
        <v>9</v>
      </c>
      <c r="E86" s="1">
        <v>1</v>
      </c>
      <c r="F86" s="3">
        <v>5580.8130000000001</v>
      </c>
      <c r="G86" s="3">
        <v>5.3617146763534997E-2</v>
      </c>
      <c r="H86" s="3" t="s">
        <v>176</v>
      </c>
      <c r="I86" s="4">
        <v>39353</v>
      </c>
      <c r="J86" s="5">
        <v>333.67</v>
      </c>
      <c r="K86" s="1">
        <v>2007</v>
      </c>
      <c r="L86" s="1">
        <v>9</v>
      </c>
      <c r="M86" s="1">
        <v>1</v>
      </c>
      <c r="N86" s="3">
        <v>333.67</v>
      </c>
      <c r="O86" s="3">
        <v>8.0677548905298699E-2</v>
      </c>
      <c r="P86" s="3" t="s">
        <v>176</v>
      </c>
      <c r="Q86" s="4">
        <v>39353</v>
      </c>
      <c r="R86" s="5">
        <v>117.663</v>
      </c>
      <c r="S86" s="1">
        <v>2007</v>
      </c>
      <c r="T86" s="1">
        <v>9</v>
      </c>
      <c r="U86" s="1">
        <v>1</v>
      </c>
      <c r="V86" s="1">
        <v>117.663</v>
      </c>
      <c r="W86" s="1">
        <v>-2.1286700476619001E-3</v>
      </c>
      <c r="X86" s="3" t="s">
        <v>176</v>
      </c>
      <c r="Y86" s="4">
        <v>39355</v>
      </c>
      <c r="Z86" s="9">
        <v>1.9933000000000001</v>
      </c>
      <c r="AA86" s="1">
        <v>2007</v>
      </c>
      <c r="AB86" s="1">
        <v>9</v>
      </c>
      <c r="AC86" s="1">
        <v>1</v>
      </c>
      <c r="AD86" s="3">
        <v>1.9933000000000001</v>
      </c>
      <c r="AE86" s="1">
        <v>6.5138399059527702E-2</v>
      </c>
      <c r="AF86" s="1" t="s">
        <v>176</v>
      </c>
    </row>
    <row r="87" spans="1:32">
      <c r="A87" s="4">
        <v>39386</v>
      </c>
      <c r="B87" s="5">
        <v>5688.5429999999997</v>
      </c>
      <c r="C87" s="1">
        <v>2007</v>
      </c>
      <c r="D87" s="1">
        <v>10</v>
      </c>
      <c r="E87" s="1">
        <v>1</v>
      </c>
      <c r="F87" s="3">
        <v>5688.5429999999997</v>
      </c>
      <c r="G87" s="3">
        <v>1.9303639093443799E-2</v>
      </c>
      <c r="H87" s="3" t="s">
        <v>176</v>
      </c>
      <c r="I87" s="4">
        <v>39386</v>
      </c>
      <c r="J87" s="5">
        <v>351.01</v>
      </c>
      <c r="K87" s="1">
        <v>2007</v>
      </c>
      <c r="L87" s="1">
        <v>10</v>
      </c>
      <c r="M87" s="1">
        <v>1</v>
      </c>
      <c r="N87" s="3">
        <v>351.01</v>
      </c>
      <c r="O87" s="3">
        <v>5.1967512812059698E-2</v>
      </c>
      <c r="P87" s="3" t="s">
        <v>176</v>
      </c>
      <c r="Q87" s="4">
        <v>39386</v>
      </c>
      <c r="R87" s="5">
        <v>117.708</v>
      </c>
      <c r="S87" s="1">
        <v>2007</v>
      </c>
      <c r="T87" s="1">
        <v>10</v>
      </c>
      <c r="U87" s="1">
        <v>1</v>
      </c>
      <c r="V87" s="1">
        <v>117.708</v>
      </c>
      <c r="W87" s="1">
        <v>3.8244817827185899E-4</v>
      </c>
      <c r="X87" s="3" t="s">
        <v>176</v>
      </c>
      <c r="Y87" s="4">
        <v>39386</v>
      </c>
      <c r="Z87" s="9">
        <v>2.9072</v>
      </c>
      <c r="AA87" s="1">
        <v>2007</v>
      </c>
      <c r="AB87" s="1">
        <v>10</v>
      </c>
      <c r="AC87" s="1">
        <v>1</v>
      </c>
      <c r="AD87" s="3">
        <v>2.9072</v>
      </c>
      <c r="AE87" s="1">
        <v>0.45848592785832498</v>
      </c>
      <c r="AF87" s="1" t="s">
        <v>176</v>
      </c>
    </row>
    <row r="88" spans="1:32">
      <c r="A88" s="4">
        <v>39416</v>
      </c>
      <c r="B88" s="5">
        <v>4737.4080000000004</v>
      </c>
      <c r="C88" s="1">
        <v>2007</v>
      </c>
      <c r="D88" s="1">
        <v>11</v>
      </c>
      <c r="E88" s="1">
        <v>1</v>
      </c>
      <c r="F88" s="3">
        <v>4737.4080000000004</v>
      </c>
      <c r="G88" s="3">
        <v>-0.16720186522278199</v>
      </c>
      <c r="H88" s="3" t="s">
        <v>176</v>
      </c>
      <c r="I88" s="4">
        <v>39416</v>
      </c>
      <c r="J88" s="5">
        <v>339.84</v>
      </c>
      <c r="K88" s="1">
        <v>2007</v>
      </c>
      <c r="L88" s="1">
        <v>11</v>
      </c>
      <c r="M88" s="1">
        <v>1</v>
      </c>
      <c r="N88" s="3">
        <v>339.84</v>
      </c>
      <c r="O88" s="3">
        <v>-3.1822455200706597E-2</v>
      </c>
      <c r="P88" s="3" t="s">
        <v>176</v>
      </c>
      <c r="Q88" s="4">
        <v>39416</v>
      </c>
      <c r="R88" s="5">
        <v>117.419</v>
      </c>
      <c r="S88" s="1">
        <v>2007</v>
      </c>
      <c r="T88" s="1">
        <v>11</v>
      </c>
      <c r="U88" s="1">
        <v>1</v>
      </c>
      <c r="V88" s="1">
        <v>117.419</v>
      </c>
      <c r="W88" s="1">
        <v>-2.45522819179666E-3</v>
      </c>
      <c r="X88" s="3" t="s">
        <v>176</v>
      </c>
      <c r="Y88" s="4">
        <v>39416</v>
      </c>
      <c r="Z88" s="9">
        <v>1.8571</v>
      </c>
      <c r="AA88" s="1">
        <v>2007</v>
      </c>
      <c r="AB88" s="1">
        <v>11</v>
      </c>
      <c r="AC88" s="1">
        <v>1</v>
      </c>
      <c r="AD88" s="3">
        <v>1.8571</v>
      </c>
      <c r="AE88" s="1">
        <v>-0.36120665932856399</v>
      </c>
      <c r="AF88" s="1" t="s">
        <v>176</v>
      </c>
    </row>
    <row r="89" spans="1:32">
      <c r="A89" s="4">
        <v>39444</v>
      </c>
      <c r="B89" s="5">
        <v>5338.2749999999996</v>
      </c>
      <c r="C89" s="1">
        <v>2007</v>
      </c>
      <c r="D89" s="1">
        <v>12</v>
      </c>
      <c r="E89" s="1">
        <v>-11</v>
      </c>
      <c r="F89" s="3">
        <v>5338.2749999999996</v>
      </c>
      <c r="G89" s="3">
        <v>0.12683454749939199</v>
      </c>
      <c r="H89" s="3" t="s">
        <v>176</v>
      </c>
      <c r="I89" s="4">
        <v>39444</v>
      </c>
      <c r="J89" s="5">
        <v>358.51</v>
      </c>
      <c r="K89" s="1">
        <v>2007</v>
      </c>
      <c r="L89" s="1">
        <v>12</v>
      </c>
      <c r="M89" s="1">
        <v>-11</v>
      </c>
      <c r="N89" s="3">
        <v>358.51</v>
      </c>
      <c r="O89" s="3">
        <v>5.4937617702448302E-2</v>
      </c>
      <c r="P89" s="3" t="s">
        <v>176</v>
      </c>
      <c r="Q89" s="4">
        <v>39444</v>
      </c>
      <c r="R89" s="5">
        <v>118.038</v>
      </c>
      <c r="S89" s="1">
        <v>2007</v>
      </c>
      <c r="T89" s="1">
        <v>12</v>
      </c>
      <c r="U89" s="1">
        <v>-11</v>
      </c>
      <c r="V89" s="1">
        <v>118.038</v>
      </c>
      <c r="W89" s="1">
        <v>5.2717192277229397E-3</v>
      </c>
      <c r="X89" s="3" t="s">
        <v>176</v>
      </c>
      <c r="Y89" s="4">
        <v>39445</v>
      </c>
      <c r="Z89" s="9">
        <v>2.456</v>
      </c>
      <c r="AA89" s="1">
        <v>2007</v>
      </c>
      <c r="AB89" s="1">
        <v>12</v>
      </c>
      <c r="AC89" s="1">
        <v>-11</v>
      </c>
      <c r="AD89" s="3">
        <v>2.456</v>
      </c>
      <c r="AE89" s="1">
        <v>0.32249205750901899</v>
      </c>
      <c r="AF89" s="1" t="s">
        <v>176</v>
      </c>
    </row>
    <row r="90" spans="1:32">
      <c r="A90" s="4">
        <v>39478</v>
      </c>
      <c r="B90" s="5">
        <v>4620.4009999999998</v>
      </c>
      <c r="C90" s="1">
        <v>2008</v>
      </c>
      <c r="D90" s="1">
        <v>1</v>
      </c>
      <c r="E90" s="1">
        <v>1</v>
      </c>
      <c r="F90" s="3">
        <v>4620.4009999999998</v>
      </c>
      <c r="G90" s="3">
        <v>-0.134476773864216</v>
      </c>
      <c r="H90" s="3" t="s">
        <v>176</v>
      </c>
      <c r="I90" s="4">
        <v>39478</v>
      </c>
      <c r="J90" s="5">
        <v>369.46</v>
      </c>
      <c r="K90" s="1">
        <v>2008</v>
      </c>
      <c r="L90" s="1">
        <v>1</v>
      </c>
      <c r="M90" s="1">
        <v>1</v>
      </c>
      <c r="N90" s="3">
        <v>369.46</v>
      </c>
      <c r="O90" s="3">
        <v>3.0543081085604301E-2</v>
      </c>
      <c r="P90" s="3" t="s">
        <v>176</v>
      </c>
      <c r="Q90" s="4">
        <v>39478</v>
      </c>
      <c r="R90" s="5">
        <v>119.235</v>
      </c>
      <c r="S90" s="1">
        <v>2008</v>
      </c>
      <c r="T90" s="1">
        <v>1</v>
      </c>
      <c r="U90" s="1">
        <v>1</v>
      </c>
      <c r="V90" s="1">
        <v>119.235</v>
      </c>
      <c r="W90" s="1">
        <v>1.01408021145733E-2</v>
      </c>
      <c r="X90" s="3" t="s">
        <v>176</v>
      </c>
      <c r="Y90" s="4">
        <v>39478</v>
      </c>
      <c r="Z90" s="9">
        <v>1.9865999999999999</v>
      </c>
      <c r="AA90" s="1">
        <v>2008</v>
      </c>
      <c r="AB90" s="1">
        <v>1</v>
      </c>
      <c r="AC90" s="1">
        <v>1</v>
      </c>
      <c r="AD90" s="3">
        <v>1.9865999999999999</v>
      </c>
      <c r="AE90" s="1">
        <v>-0.19112377850162901</v>
      </c>
      <c r="AF90" s="1" t="s">
        <v>176</v>
      </c>
    </row>
    <row r="91" spans="1:32">
      <c r="A91" s="4">
        <v>39507</v>
      </c>
      <c r="B91" s="5">
        <v>4674.55</v>
      </c>
      <c r="C91" s="1">
        <v>2008</v>
      </c>
      <c r="D91" s="1">
        <v>2</v>
      </c>
      <c r="E91" s="1">
        <v>1</v>
      </c>
      <c r="F91" s="3">
        <v>4674.55</v>
      </c>
      <c r="G91" s="3">
        <v>1.17195455545959E-2</v>
      </c>
      <c r="H91" s="3" t="s">
        <v>176</v>
      </c>
      <c r="I91" s="4">
        <v>39507</v>
      </c>
      <c r="J91" s="5">
        <v>412.76</v>
      </c>
      <c r="K91" s="1">
        <v>2008</v>
      </c>
      <c r="L91" s="1">
        <v>2</v>
      </c>
      <c r="M91" s="1">
        <v>1</v>
      </c>
      <c r="N91" s="3">
        <v>412.76</v>
      </c>
      <c r="O91" s="3">
        <v>0.117198072863098</v>
      </c>
      <c r="P91" s="3" t="s">
        <v>176</v>
      </c>
      <c r="Q91" s="4">
        <v>39507</v>
      </c>
      <c r="R91" s="5">
        <v>120.211</v>
      </c>
      <c r="S91" s="1">
        <v>2008</v>
      </c>
      <c r="T91" s="1">
        <v>2</v>
      </c>
      <c r="U91" s="1">
        <v>1</v>
      </c>
      <c r="V91" s="1">
        <v>120.211</v>
      </c>
      <c r="W91" s="1">
        <v>8.1855159978194304E-3</v>
      </c>
      <c r="X91" s="3" t="s">
        <v>176</v>
      </c>
      <c r="Y91" s="4">
        <v>39507</v>
      </c>
      <c r="Z91" s="9">
        <v>2.4904000000000002</v>
      </c>
      <c r="AA91" s="1">
        <v>2008</v>
      </c>
      <c r="AB91" s="1">
        <v>2</v>
      </c>
      <c r="AC91" s="1">
        <v>1</v>
      </c>
      <c r="AD91" s="3">
        <v>2.4904000000000002</v>
      </c>
      <c r="AE91" s="1">
        <v>0.25359911406423002</v>
      </c>
      <c r="AF91" s="1" t="s">
        <v>176</v>
      </c>
    </row>
    <row r="92" spans="1:32">
      <c r="A92" s="4">
        <v>40056</v>
      </c>
      <c r="B92" s="5">
        <v>2830.2710000000002</v>
      </c>
      <c r="C92" s="1">
        <v>2009</v>
      </c>
      <c r="D92" s="1">
        <v>8</v>
      </c>
      <c r="E92" s="1">
        <v>1</v>
      </c>
      <c r="F92" s="3">
        <v>2830.2710000000002</v>
      </c>
      <c r="G92" s="3">
        <v>-0.24215328887368001</v>
      </c>
      <c r="H92" s="3" t="s">
        <v>176</v>
      </c>
      <c r="I92" s="4">
        <v>40056</v>
      </c>
      <c r="J92" s="5">
        <v>253.68</v>
      </c>
      <c r="K92" s="1">
        <v>2009</v>
      </c>
      <c r="L92" s="1">
        <v>8</v>
      </c>
      <c r="M92" s="1">
        <v>1</v>
      </c>
      <c r="N92" s="3">
        <v>253.68</v>
      </c>
      <c r="O92" s="3">
        <v>-1.4643620120411699E-2</v>
      </c>
      <c r="P92" s="3" t="s">
        <v>176</v>
      </c>
      <c r="Q92" s="4">
        <v>40056</v>
      </c>
      <c r="R92" s="5">
        <v>130.95070000000001</v>
      </c>
      <c r="S92" s="1">
        <v>2009</v>
      </c>
      <c r="T92" s="1">
        <v>8</v>
      </c>
      <c r="U92" s="1">
        <v>1</v>
      </c>
      <c r="V92" s="1">
        <v>130.95070000000001</v>
      </c>
      <c r="W92" s="1">
        <v>3.12618256415928E-3</v>
      </c>
      <c r="X92" s="3" t="s">
        <v>176</v>
      </c>
      <c r="Y92" s="4">
        <v>40056</v>
      </c>
      <c r="Z92" s="9">
        <v>1.0021</v>
      </c>
      <c r="AA92" s="1">
        <v>2009</v>
      </c>
      <c r="AB92" s="1">
        <v>8</v>
      </c>
      <c r="AC92" s="1">
        <v>1</v>
      </c>
      <c r="AD92" s="3">
        <v>1.0021</v>
      </c>
      <c r="AE92" s="1">
        <v>-0.231871838111298</v>
      </c>
      <c r="AF92" s="1" t="s">
        <v>176</v>
      </c>
    </row>
    <row r="93" spans="1:32">
      <c r="A93" s="4">
        <v>40086</v>
      </c>
      <c r="B93" s="5">
        <v>3004.8049999999998</v>
      </c>
      <c r="C93" s="1">
        <v>2009</v>
      </c>
      <c r="D93" s="1">
        <v>9</v>
      </c>
      <c r="E93" s="1">
        <v>1</v>
      </c>
      <c r="F93" s="3">
        <v>3004.8049999999998</v>
      </c>
      <c r="G93" s="3">
        <v>6.1666886315833197E-2</v>
      </c>
      <c r="H93" s="3" t="s">
        <v>176</v>
      </c>
      <c r="I93" s="4">
        <v>40086</v>
      </c>
      <c r="J93" s="5">
        <v>259.39</v>
      </c>
      <c r="K93" s="1">
        <v>2009</v>
      </c>
      <c r="L93" s="1">
        <v>9</v>
      </c>
      <c r="M93" s="1">
        <v>1</v>
      </c>
      <c r="N93" s="3">
        <v>259.39</v>
      </c>
      <c r="O93" s="3">
        <v>2.2508672343109298E-2</v>
      </c>
      <c r="P93" s="3" t="s">
        <v>176</v>
      </c>
      <c r="Q93" s="4">
        <v>40086</v>
      </c>
      <c r="R93" s="5">
        <v>130.90309999999999</v>
      </c>
      <c r="S93" s="1">
        <v>2009</v>
      </c>
      <c r="T93" s="1">
        <v>9</v>
      </c>
      <c r="U93" s="1">
        <v>1</v>
      </c>
      <c r="V93" s="1">
        <v>130.90309999999999</v>
      </c>
      <c r="W93" s="1">
        <v>-3.6349557505241999E-4</v>
      </c>
      <c r="X93" s="3" t="s">
        <v>176</v>
      </c>
      <c r="Y93" s="4">
        <v>40086</v>
      </c>
      <c r="Z93" s="9">
        <v>1.7883</v>
      </c>
      <c r="AA93" s="1">
        <v>2009</v>
      </c>
      <c r="AB93" s="1">
        <v>9</v>
      </c>
      <c r="AC93" s="1">
        <v>1</v>
      </c>
      <c r="AD93" s="3">
        <v>1.7883</v>
      </c>
      <c r="AE93" s="1">
        <v>0.78455243987626</v>
      </c>
      <c r="AF93" s="1" t="s">
        <v>176</v>
      </c>
    </row>
    <row r="94" spans="1:32">
      <c r="A94" s="4">
        <v>40116</v>
      </c>
      <c r="B94" s="5">
        <v>3280.3719999999998</v>
      </c>
      <c r="C94" s="1">
        <v>2009</v>
      </c>
      <c r="D94" s="1">
        <v>10</v>
      </c>
      <c r="E94" s="1">
        <v>1</v>
      </c>
      <c r="F94" s="3">
        <v>3280.3719999999998</v>
      </c>
      <c r="G94" s="3">
        <v>9.1708779771066701E-2</v>
      </c>
      <c r="H94" s="3" t="s">
        <v>176</v>
      </c>
      <c r="I94" s="4">
        <v>40116</v>
      </c>
      <c r="J94" s="5">
        <v>270.38</v>
      </c>
      <c r="K94" s="1">
        <v>2009</v>
      </c>
      <c r="L94" s="1">
        <v>10</v>
      </c>
      <c r="M94" s="1">
        <v>1</v>
      </c>
      <c r="N94" s="3">
        <v>270.38</v>
      </c>
      <c r="O94" s="3">
        <v>4.2368634103088103E-2</v>
      </c>
      <c r="P94" s="3" t="s">
        <v>176</v>
      </c>
      <c r="Q94" s="4">
        <v>40116</v>
      </c>
      <c r="R94" s="5">
        <v>130.71039999999999</v>
      </c>
      <c r="S94" s="1">
        <v>2009</v>
      </c>
      <c r="T94" s="1">
        <v>10</v>
      </c>
      <c r="U94" s="1">
        <v>1</v>
      </c>
      <c r="V94" s="1">
        <v>130.71039999999999</v>
      </c>
      <c r="W94" s="1">
        <v>-1.47208125705199E-3</v>
      </c>
      <c r="X94" s="3" t="s">
        <v>176</v>
      </c>
      <c r="Y94" s="4">
        <v>40116</v>
      </c>
      <c r="Z94" s="9">
        <v>1.1429</v>
      </c>
      <c r="AA94" s="1">
        <v>2009</v>
      </c>
      <c r="AB94" s="1">
        <v>10</v>
      </c>
      <c r="AC94" s="1">
        <v>1</v>
      </c>
      <c r="AD94" s="3">
        <v>1.1429</v>
      </c>
      <c r="AE94" s="1">
        <v>-0.36090141475144</v>
      </c>
      <c r="AF94" s="1" t="s">
        <v>176</v>
      </c>
    </row>
    <row r="95" spans="1:32">
      <c r="A95" s="4">
        <v>40147</v>
      </c>
      <c r="B95" s="5">
        <v>3511.6689999999999</v>
      </c>
      <c r="C95" s="1">
        <v>2009</v>
      </c>
      <c r="D95" s="1">
        <v>11</v>
      </c>
      <c r="E95" s="1">
        <v>1</v>
      </c>
      <c r="F95" s="3">
        <v>3511.6689999999999</v>
      </c>
      <c r="G95" s="3">
        <v>7.0509381253101799E-2</v>
      </c>
      <c r="H95" s="3" t="s">
        <v>176</v>
      </c>
      <c r="I95" s="4">
        <v>40147</v>
      </c>
      <c r="J95" s="5">
        <v>277.39999999999998</v>
      </c>
      <c r="K95" s="1">
        <v>2009</v>
      </c>
      <c r="L95" s="1">
        <v>11</v>
      </c>
      <c r="M95" s="1">
        <v>1</v>
      </c>
      <c r="N95" s="3">
        <v>277.39999999999998</v>
      </c>
      <c r="O95" s="3">
        <v>2.5963458835712602E-2</v>
      </c>
      <c r="P95" s="3" t="s">
        <v>176</v>
      </c>
      <c r="Q95" s="4">
        <v>40147</v>
      </c>
      <c r="R95" s="5">
        <v>131.3185</v>
      </c>
      <c r="S95" s="1">
        <v>2009</v>
      </c>
      <c r="T95" s="1">
        <v>11</v>
      </c>
      <c r="U95" s="1">
        <v>1</v>
      </c>
      <c r="V95" s="1">
        <v>131.3185</v>
      </c>
      <c r="W95" s="1">
        <v>4.6522694445125098E-3</v>
      </c>
      <c r="X95" s="3" t="s">
        <v>176</v>
      </c>
      <c r="Y95" s="4">
        <v>40147</v>
      </c>
      <c r="Z95" s="9">
        <v>1.1897</v>
      </c>
      <c r="AA95" s="1">
        <v>2009</v>
      </c>
      <c r="AB95" s="1">
        <v>11</v>
      </c>
      <c r="AC95" s="1">
        <v>1</v>
      </c>
      <c r="AD95" s="3">
        <v>1.1897</v>
      </c>
      <c r="AE95" s="1">
        <v>4.0948464432583702E-2</v>
      </c>
      <c r="AF95" s="1" t="s">
        <v>176</v>
      </c>
    </row>
    <row r="96" spans="1:32">
      <c r="A96" s="4">
        <v>40178</v>
      </c>
      <c r="B96" s="5">
        <v>3575.6840000000002</v>
      </c>
      <c r="C96" s="1">
        <v>2009</v>
      </c>
      <c r="D96" s="1">
        <v>12</v>
      </c>
      <c r="E96" s="1">
        <v>-11</v>
      </c>
      <c r="F96" s="3">
        <v>3575.6840000000002</v>
      </c>
      <c r="G96" s="3">
        <v>1.82292237679577E-2</v>
      </c>
      <c r="H96" s="3" t="s">
        <v>176</v>
      </c>
      <c r="I96" s="4">
        <v>40178</v>
      </c>
      <c r="J96" s="5">
        <v>283.38</v>
      </c>
      <c r="K96" s="1">
        <v>2009</v>
      </c>
      <c r="L96" s="1">
        <v>12</v>
      </c>
      <c r="M96" s="1">
        <v>-11</v>
      </c>
      <c r="N96" s="3">
        <v>283.38</v>
      </c>
      <c r="O96" s="3">
        <v>2.1557317952415399E-2</v>
      </c>
      <c r="P96" s="3" t="s">
        <v>176</v>
      </c>
      <c r="Q96" s="4">
        <v>40178</v>
      </c>
      <c r="R96" s="5">
        <v>131.62690000000001</v>
      </c>
      <c r="S96" s="1">
        <v>2009</v>
      </c>
      <c r="T96" s="1">
        <v>12</v>
      </c>
      <c r="U96" s="1">
        <v>-11</v>
      </c>
      <c r="V96" s="1">
        <v>131.62690000000001</v>
      </c>
      <c r="W96" s="1">
        <v>2.3484885983315802E-3</v>
      </c>
      <c r="X96" s="3" t="s">
        <v>176</v>
      </c>
      <c r="Y96" s="4">
        <v>40178</v>
      </c>
      <c r="Z96" s="9">
        <v>1.1507000000000001</v>
      </c>
      <c r="AA96" s="1">
        <v>2009</v>
      </c>
      <c r="AB96" s="1">
        <v>12</v>
      </c>
      <c r="AC96" s="1">
        <v>-11</v>
      </c>
      <c r="AD96" s="3">
        <v>1.1507000000000001</v>
      </c>
      <c r="AE96" s="1">
        <v>-3.2781373455492903E-2</v>
      </c>
      <c r="AF96" s="1" t="s">
        <v>176</v>
      </c>
    </row>
    <row r="97" spans="1:32">
      <c r="A97" s="4">
        <v>40389</v>
      </c>
      <c r="B97" s="5">
        <v>2868.846</v>
      </c>
      <c r="C97" s="1">
        <v>2010</v>
      </c>
      <c r="D97" s="1">
        <v>7</v>
      </c>
      <c r="E97" s="1">
        <v>1</v>
      </c>
      <c r="F97" s="3">
        <v>2868.846</v>
      </c>
      <c r="G97" s="3">
        <v>0.11930068238479601</v>
      </c>
      <c r="H97" s="3" t="s">
        <v>176</v>
      </c>
      <c r="I97" s="4">
        <v>40389</v>
      </c>
      <c r="J97" s="5">
        <v>274.35000000000002</v>
      </c>
      <c r="K97" s="1">
        <v>2010</v>
      </c>
      <c r="L97" s="1">
        <v>7</v>
      </c>
      <c r="M97" s="1">
        <v>1</v>
      </c>
      <c r="N97" s="3">
        <v>274.35000000000002</v>
      </c>
      <c r="O97" s="3">
        <v>6.12331734488629E-2</v>
      </c>
      <c r="P97" s="3" t="s">
        <v>176</v>
      </c>
      <c r="Q97" s="4">
        <v>40389</v>
      </c>
      <c r="R97" s="5">
        <v>136.12129999999999</v>
      </c>
      <c r="S97" s="1">
        <v>2010</v>
      </c>
      <c r="T97" s="1">
        <v>7</v>
      </c>
      <c r="U97" s="1">
        <v>1</v>
      </c>
      <c r="V97" s="1">
        <v>136.12129999999999</v>
      </c>
      <c r="W97" s="1">
        <v>5.6027168448666096E-3</v>
      </c>
      <c r="X97" s="3" t="s">
        <v>176</v>
      </c>
      <c r="Y97" s="4">
        <v>40389</v>
      </c>
      <c r="Z97" s="9">
        <v>1.4771000000000001</v>
      </c>
      <c r="AA97" s="1">
        <v>2010</v>
      </c>
      <c r="AB97" s="1">
        <v>7</v>
      </c>
      <c r="AC97" s="1">
        <v>1</v>
      </c>
      <c r="AD97" s="3">
        <v>1.4771000000000001</v>
      </c>
      <c r="AE97" s="1">
        <v>-0.35121008477181898</v>
      </c>
      <c r="AF97" s="1" t="s">
        <v>176</v>
      </c>
    </row>
    <row r="98" spans="1:32">
      <c r="A98" s="4">
        <v>40421</v>
      </c>
      <c r="B98" s="5">
        <v>2903.1880000000001</v>
      </c>
      <c r="C98" s="1">
        <v>2010</v>
      </c>
      <c r="D98" s="1">
        <v>8</v>
      </c>
      <c r="E98" s="1">
        <v>1</v>
      </c>
      <c r="F98" s="3">
        <v>2903.1880000000001</v>
      </c>
      <c r="G98" s="3">
        <v>1.19706669511016E-2</v>
      </c>
      <c r="H98" s="3" t="s">
        <v>176</v>
      </c>
      <c r="I98" s="4">
        <v>40421</v>
      </c>
      <c r="J98" s="5">
        <v>264.19</v>
      </c>
      <c r="K98" s="1">
        <v>2010</v>
      </c>
      <c r="L98" s="1">
        <v>8</v>
      </c>
      <c r="M98" s="1">
        <v>1</v>
      </c>
      <c r="N98" s="3">
        <v>264.19</v>
      </c>
      <c r="O98" s="3">
        <v>-3.7032987060324499E-2</v>
      </c>
      <c r="P98" s="3" t="s">
        <v>176</v>
      </c>
      <c r="Q98" s="4">
        <v>40421</v>
      </c>
      <c r="R98" s="5">
        <v>136.71010000000001</v>
      </c>
      <c r="S98" s="1">
        <v>2010</v>
      </c>
      <c r="T98" s="1">
        <v>8</v>
      </c>
      <c r="U98" s="1">
        <v>1</v>
      </c>
      <c r="V98" s="1">
        <v>136.71010000000001</v>
      </c>
      <c r="W98" s="1">
        <v>4.32555375242538E-3</v>
      </c>
      <c r="X98" s="3" t="s">
        <v>176</v>
      </c>
      <c r="Y98" s="4">
        <v>40421</v>
      </c>
      <c r="Z98" s="9">
        <v>2.3325</v>
      </c>
      <c r="AA98" s="1">
        <v>2010</v>
      </c>
      <c r="AB98" s="1">
        <v>8</v>
      </c>
      <c r="AC98" s="1">
        <v>1</v>
      </c>
      <c r="AD98" s="3">
        <v>2.3325</v>
      </c>
      <c r="AE98" s="1">
        <v>0.57910771105544601</v>
      </c>
      <c r="AF98" s="1" t="s">
        <v>176</v>
      </c>
    </row>
    <row r="99" spans="1:32">
      <c r="A99" s="4">
        <v>40451</v>
      </c>
      <c r="B99" s="5">
        <v>2935.5740000000001</v>
      </c>
      <c r="C99" s="1">
        <v>2010</v>
      </c>
      <c r="D99" s="1">
        <v>9</v>
      </c>
      <c r="E99" s="1">
        <v>1</v>
      </c>
      <c r="F99" s="3">
        <v>2935.5740000000001</v>
      </c>
      <c r="G99" s="3">
        <v>1.11553230448734E-2</v>
      </c>
      <c r="H99" s="3" t="s">
        <v>176</v>
      </c>
      <c r="I99" s="4">
        <v>40451</v>
      </c>
      <c r="J99" s="5">
        <v>286.86</v>
      </c>
      <c r="K99" s="1">
        <v>2010</v>
      </c>
      <c r="L99" s="1">
        <v>9</v>
      </c>
      <c r="M99" s="1">
        <v>1</v>
      </c>
      <c r="N99" s="3">
        <v>286.86</v>
      </c>
      <c r="O99" s="3">
        <v>8.58094553162497E-2</v>
      </c>
      <c r="P99" s="3" t="s">
        <v>176</v>
      </c>
      <c r="Q99" s="4">
        <v>40451</v>
      </c>
      <c r="R99" s="5">
        <v>136.57470000000001</v>
      </c>
      <c r="S99" s="1">
        <v>2010</v>
      </c>
      <c r="T99" s="1">
        <v>9</v>
      </c>
      <c r="U99" s="1">
        <v>1</v>
      </c>
      <c r="V99" s="1">
        <v>136.57470000000001</v>
      </c>
      <c r="W99" s="1">
        <v>-9.9041694797973403E-4</v>
      </c>
      <c r="X99" s="3" t="s">
        <v>176</v>
      </c>
      <c r="Y99" s="4">
        <v>40451</v>
      </c>
      <c r="Z99" s="9">
        <v>2.6061000000000001</v>
      </c>
      <c r="AA99" s="1">
        <v>2010</v>
      </c>
      <c r="AB99" s="1">
        <v>9</v>
      </c>
      <c r="AC99" s="1">
        <v>1</v>
      </c>
      <c r="AD99" s="3">
        <v>2.6061000000000001</v>
      </c>
      <c r="AE99" s="1">
        <v>0.117299035369775</v>
      </c>
      <c r="AF99" s="1" t="s">
        <v>176</v>
      </c>
    </row>
    <row r="100" spans="1:32">
      <c r="A100" s="4">
        <v>40480</v>
      </c>
      <c r="B100" s="5">
        <v>3379.9830000000002</v>
      </c>
      <c r="C100" s="1">
        <v>2010</v>
      </c>
      <c r="D100" s="1">
        <v>10</v>
      </c>
      <c r="E100" s="1">
        <v>1</v>
      </c>
      <c r="F100" s="3">
        <v>3379.9830000000002</v>
      </c>
      <c r="G100" s="3">
        <v>0.151387428829932</v>
      </c>
      <c r="H100" s="3" t="s">
        <v>176</v>
      </c>
      <c r="I100" s="4">
        <v>40480</v>
      </c>
      <c r="J100" s="5">
        <v>300.67</v>
      </c>
      <c r="K100" s="1">
        <v>2010</v>
      </c>
      <c r="L100" s="1">
        <v>10</v>
      </c>
      <c r="M100" s="1">
        <v>1</v>
      </c>
      <c r="N100" s="3">
        <v>300.67</v>
      </c>
      <c r="O100" s="3">
        <v>4.8141950777382703E-2</v>
      </c>
      <c r="P100" s="3" t="s">
        <v>176</v>
      </c>
      <c r="Q100" s="4">
        <v>40480</v>
      </c>
      <c r="R100" s="5">
        <v>135.48679999999999</v>
      </c>
      <c r="S100" s="1">
        <v>2010</v>
      </c>
      <c r="T100" s="1">
        <v>10</v>
      </c>
      <c r="U100" s="1">
        <v>1</v>
      </c>
      <c r="V100" s="1">
        <v>135.48679999999999</v>
      </c>
      <c r="W100" s="1">
        <v>-7.9656041711972901E-3</v>
      </c>
      <c r="X100" s="3" t="s">
        <v>176</v>
      </c>
      <c r="Y100" s="4">
        <v>40480</v>
      </c>
      <c r="Z100" s="9">
        <v>1.5931999999999999</v>
      </c>
      <c r="AA100" s="1">
        <v>2010</v>
      </c>
      <c r="AB100" s="1">
        <v>10</v>
      </c>
      <c r="AC100" s="1">
        <v>1</v>
      </c>
      <c r="AD100" s="3">
        <v>1.5931999999999999</v>
      </c>
      <c r="AE100" s="1">
        <v>-0.38866505506312099</v>
      </c>
      <c r="AF100" s="1" t="s">
        <v>176</v>
      </c>
    </row>
    <row r="101" spans="1:32">
      <c r="A101" s="4">
        <v>40512</v>
      </c>
      <c r="B101" s="5">
        <v>3136.9850000000001</v>
      </c>
      <c r="C101" s="1">
        <v>2010</v>
      </c>
      <c r="D101" s="1">
        <v>11</v>
      </c>
      <c r="E101" s="1">
        <v>1</v>
      </c>
      <c r="F101" s="3">
        <v>3136.9850000000001</v>
      </c>
      <c r="G101" s="3">
        <v>-7.1893261001608602E-2</v>
      </c>
      <c r="H101" s="3" t="s">
        <v>176</v>
      </c>
      <c r="I101" s="4">
        <v>40512</v>
      </c>
      <c r="J101" s="5">
        <v>301.41000000000003</v>
      </c>
      <c r="K101" s="1">
        <v>2010</v>
      </c>
      <c r="L101" s="1">
        <v>11</v>
      </c>
      <c r="M101" s="1">
        <v>1</v>
      </c>
      <c r="N101" s="3">
        <v>301.41000000000003</v>
      </c>
      <c r="O101" s="3">
        <v>2.4611700535471098E-3</v>
      </c>
      <c r="P101" s="3" t="s">
        <v>176</v>
      </c>
      <c r="Q101" s="4">
        <v>40512</v>
      </c>
      <c r="R101" s="5">
        <v>133.51679999999999</v>
      </c>
      <c r="S101" s="1">
        <v>2010</v>
      </c>
      <c r="T101" s="1">
        <v>11</v>
      </c>
      <c r="U101" s="1">
        <v>1</v>
      </c>
      <c r="V101" s="1">
        <v>133.51679999999999</v>
      </c>
      <c r="W101" s="1">
        <v>-1.45401618460248E-2</v>
      </c>
      <c r="X101" s="3" t="s">
        <v>176</v>
      </c>
      <c r="Y101" s="4">
        <v>40512</v>
      </c>
      <c r="Z101" s="9">
        <v>2.1808999999999998</v>
      </c>
      <c r="AA101" s="1">
        <v>2010</v>
      </c>
      <c r="AB101" s="1">
        <v>11</v>
      </c>
      <c r="AC101" s="1">
        <v>1</v>
      </c>
      <c r="AD101" s="3">
        <v>2.1808999999999998</v>
      </c>
      <c r="AE101" s="1">
        <v>0.36888024102435302</v>
      </c>
      <c r="AF101" s="1" t="s">
        <v>176</v>
      </c>
    </row>
    <row r="102" spans="1:32">
      <c r="A102" s="4">
        <v>40543</v>
      </c>
      <c r="B102" s="5">
        <v>3128.261</v>
      </c>
      <c r="C102" s="1">
        <v>2010</v>
      </c>
      <c r="D102" s="1">
        <v>12</v>
      </c>
      <c r="E102" s="1">
        <v>-11</v>
      </c>
      <c r="F102" s="3">
        <v>3128.261</v>
      </c>
      <c r="G102" s="3">
        <v>-2.7810142541326E-3</v>
      </c>
      <c r="H102" s="3" t="s">
        <v>176</v>
      </c>
      <c r="I102" s="4">
        <v>40543</v>
      </c>
      <c r="J102" s="5">
        <v>332.8</v>
      </c>
      <c r="K102" s="1">
        <v>2010</v>
      </c>
      <c r="L102" s="1">
        <v>12</v>
      </c>
      <c r="M102" s="1">
        <v>-11</v>
      </c>
      <c r="N102" s="3">
        <v>332.8</v>
      </c>
      <c r="O102" s="3">
        <v>0.104143857204472</v>
      </c>
      <c r="P102" s="3" t="s">
        <v>176</v>
      </c>
      <c r="Q102" s="4">
        <v>40543</v>
      </c>
      <c r="R102" s="5">
        <v>134.32599999999999</v>
      </c>
      <c r="S102" s="1">
        <v>2010</v>
      </c>
      <c r="T102" s="1">
        <v>12</v>
      </c>
      <c r="U102" s="1">
        <v>-11</v>
      </c>
      <c r="V102" s="1">
        <v>134.32599999999999</v>
      </c>
      <c r="W102" s="1">
        <v>6.0606605311092302E-3</v>
      </c>
      <c r="X102" s="3" t="s">
        <v>176</v>
      </c>
      <c r="Y102" s="4">
        <v>40543</v>
      </c>
      <c r="Z102" s="9">
        <v>4.5698999999999996</v>
      </c>
      <c r="AA102" s="1">
        <v>2010</v>
      </c>
      <c r="AB102" s="1">
        <v>12</v>
      </c>
      <c r="AC102" s="1">
        <v>-11</v>
      </c>
      <c r="AD102" s="3">
        <v>4.5698999999999996</v>
      </c>
      <c r="AE102" s="1">
        <v>1.0954193222981301</v>
      </c>
      <c r="AF102" s="1" t="s">
        <v>176</v>
      </c>
    </row>
    <row r="103" spans="1:32">
      <c r="A103" s="4">
        <v>44074</v>
      </c>
      <c r="B103" s="5">
        <v>4816.2152999999998</v>
      </c>
      <c r="C103" s="1">
        <v>2020</v>
      </c>
      <c r="D103" s="1">
        <v>8</v>
      </c>
      <c r="E103" s="1">
        <v>1</v>
      </c>
      <c r="F103" s="3">
        <v>4816.2152999999998</v>
      </c>
      <c r="G103" s="3">
        <v>2.5807861060025399E-2</v>
      </c>
      <c r="H103" s="3" t="s">
        <v>176</v>
      </c>
      <c r="I103" s="4">
        <v>44074</v>
      </c>
      <c r="J103" s="5">
        <v>153.21</v>
      </c>
      <c r="K103" s="1">
        <v>2020</v>
      </c>
      <c r="L103" s="1">
        <v>8</v>
      </c>
      <c r="M103" s="1">
        <v>1</v>
      </c>
      <c r="N103" s="3">
        <v>153.21</v>
      </c>
      <c r="O103" s="3">
        <v>6.6253740691767093E-2</v>
      </c>
      <c r="P103" s="3" t="s">
        <v>176</v>
      </c>
      <c r="Q103" s="4">
        <v>44074</v>
      </c>
      <c r="R103" s="5">
        <v>204.7038</v>
      </c>
      <c r="S103" s="1">
        <v>2020</v>
      </c>
      <c r="T103" s="1">
        <v>8</v>
      </c>
      <c r="U103" s="1">
        <v>1</v>
      </c>
      <c r="V103" s="1">
        <v>204.7038</v>
      </c>
      <c r="W103" s="1">
        <v>-2.2868506089982598E-3</v>
      </c>
      <c r="X103" s="3" t="s">
        <v>176</v>
      </c>
      <c r="Y103" s="4">
        <v>44074</v>
      </c>
      <c r="Z103" s="9">
        <v>1.9719</v>
      </c>
      <c r="AA103" s="1">
        <v>2020</v>
      </c>
      <c r="AB103" s="1">
        <v>8</v>
      </c>
      <c r="AC103" s="1">
        <v>1</v>
      </c>
      <c r="AD103" s="3">
        <v>1.9719</v>
      </c>
      <c r="AE103" s="1">
        <v>2.6496616345653302E-2</v>
      </c>
      <c r="AF103" s="1" t="s">
        <v>176</v>
      </c>
    </row>
    <row r="104" spans="1:32">
      <c r="A104" s="4">
        <v>44104</v>
      </c>
      <c r="B104" s="5">
        <v>4587.3953000000001</v>
      </c>
      <c r="C104" s="1">
        <v>2020</v>
      </c>
      <c r="D104" s="1">
        <v>9</v>
      </c>
      <c r="E104" s="1">
        <v>1</v>
      </c>
      <c r="F104" s="3">
        <v>4587.3953000000001</v>
      </c>
      <c r="G104" s="3">
        <v>-4.75103345151534E-2</v>
      </c>
      <c r="H104" s="3" t="s">
        <v>176</v>
      </c>
      <c r="I104" s="4">
        <v>44104</v>
      </c>
      <c r="J104" s="5">
        <v>148.51</v>
      </c>
      <c r="K104" s="1">
        <v>2020</v>
      </c>
      <c r="L104" s="1">
        <v>9</v>
      </c>
      <c r="M104" s="1">
        <v>1</v>
      </c>
      <c r="N104" s="3">
        <v>148.51</v>
      </c>
      <c r="O104" s="3">
        <v>-3.0676848769662701E-2</v>
      </c>
      <c r="P104" s="3" t="s">
        <v>176</v>
      </c>
      <c r="Q104" s="4">
        <v>44104</v>
      </c>
      <c r="R104" s="5">
        <v>204.61410000000001</v>
      </c>
      <c r="S104" s="1">
        <v>2020</v>
      </c>
      <c r="T104" s="1">
        <v>9</v>
      </c>
      <c r="U104" s="1">
        <v>1</v>
      </c>
      <c r="V104" s="1">
        <v>204.61410000000001</v>
      </c>
      <c r="W104" s="1">
        <v>-4.38194112664218E-4</v>
      </c>
      <c r="X104" s="3" t="s">
        <v>176</v>
      </c>
      <c r="Y104" s="4">
        <v>44104</v>
      </c>
      <c r="Z104" s="9">
        <v>2.5255999999999998</v>
      </c>
      <c r="AA104" s="1">
        <v>2020</v>
      </c>
      <c r="AB104" s="1">
        <v>9</v>
      </c>
      <c r="AC104" s="1">
        <v>1</v>
      </c>
      <c r="AD104" s="3">
        <v>2.5255999999999998</v>
      </c>
      <c r="AE104" s="1">
        <v>0.28079517216897398</v>
      </c>
      <c r="AF104" s="1" t="s">
        <v>176</v>
      </c>
    </row>
    <row r="105" spans="1:32">
      <c r="A105" s="4">
        <v>44134</v>
      </c>
      <c r="B105" s="5">
        <v>4695.3338000000003</v>
      </c>
      <c r="C105" s="1">
        <v>2020</v>
      </c>
      <c r="D105" s="1">
        <v>10</v>
      </c>
      <c r="E105" s="1">
        <v>1</v>
      </c>
      <c r="F105" s="3">
        <v>4695.3338000000003</v>
      </c>
      <c r="G105" s="3">
        <v>2.3529365345951399E-2</v>
      </c>
      <c r="H105" s="3" t="s">
        <v>176</v>
      </c>
      <c r="I105" s="4">
        <v>44134</v>
      </c>
      <c r="J105" s="5">
        <v>144.72999999999999</v>
      </c>
      <c r="K105" s="1">
        <v>2020</v>
      </c>
      <c r="L105" s="1">
        <v>10</v>
      </c>
      <c r="M105" s="1">
        <v>1</v>
      </c>
      <c r="N105" s="3">
        <v>144.72999999999999</v>
      </c>
      <c r="O105" s="3">
        <v>-2.5452831459161E-2</v>
      </c>
      <c r="P105" s="3" t="s">
        <v>176</v>
      </c>
      <c r="Q105" s="4">
        <v>44134</v>
      </c>
      <c r="R105" s="5">
        <v>205.30879999999999</v>
      </c>
      <c r="S105" s="1">
        <v>2020</v>
      </c>
      <c r="T105" s="1">
        <v>10</v>
      </c>
      <c r="U105" s="1">
        <v>1</v>
      </c>
      <c r="V105" s="1">
        <v>205.30879999999999</v>
      </c>
      <c r="W105" s="1">
        <v>3.39517169149136E-3</v>
      </c>
      <c r="X105" s="3" t="s">
        <v>176</v>
      </c>
      <c r="Y105" s="4">
        <v>44134</v>
      </c>
      <c r="Z105" s="9">
        <v>2.9178999999999999</v>
      </c>
      <c r="AA105" s="1">
        <v>2020</v>
      </c>
      <c r="AB105" s="1">
        <v>10</v>
      </c>
      <c r="AC105" s="1">
        <v>1</v>
      </c>
      <c r="AD105" s="3">
        <v>2.9178999999999999</v>
      </c>
      <c r="AE105" s="1">
        <v>0.15532942667089</v>
      </c>
      <c r="AF105" s="1" t="s">
        <v>176</v>
      </c>
    </row>
    <row r="106" spans="1:32">
      <c r="A106" s="4">
        <v>37894</v>
      </c>
      <c r="B106" s="5">
        <v>1127.144</v>
      </c>
      <c r="C106" s="1">
        <v>2003</v>
      </c>
      <c r="D106" s="1">
        <v>9</v>
      </c>
      <c r="E106" s="1">
        <v>1</v>
      </c>
      <c r="F106" s="3">
        <v>1127.144</v>
      </c>
      <c r="G106" s="3">
        <v>-4.3637480548527299E-2</v>
      </c>
      <c r="H106" s="3" t="s">
        <v>178</v>
      </c>
      <c r="I106" s="4">
        <v>37894</v>
      </c>
      <c r="J106" s="5">
        <v>217.29</v>
      </c>
      <c r="K106" s="1">
        <v>2003</v>
      </c>
      <c r="L106" s="1">
        <v>9</v>
      </c>
      <c r="M106" s="1">
        <v>1</v>
      </c>
      <c r="N106" s="3">
        <v>217.29</v>
      </c>
      <c r="O106" s="3">
        <v>-1.45131298471587E-2</v>
      </c>
      <c r="P106" s="3" t="s">
        <v>178</v>
      </c>
      <c r="Q106" s="4">
        <v>37894</v>
      </c>
      <c r="R106" s="5">
        <v>104.952</v>
      </c>
      <c r="S106" s="1">
        <v>2003</v>
      </c>
      <c r="T106" s="1">
        <v>9</v>
      </c>
      <c r="U106" s="1">
        <v>1</v>
      </c>
      <c r="V106" s="1">
        <v>104.952</v>
      </c>
      <c r="W106" s="1">
        <v>-7.9213536251064205E-3</v>
      </c>
      <c r="X106" s="3" t="s">
        <v>178</v>
      </c>
      <c r="Y106" s="4">
        <v>37894</v>
      </c>
      <c r="Z106" s="9">
        <v>3.1869999999999998</v>
      </c>
      <c r="AA106" s="1">
        <v>2003</v>
      </c>
      <c r="AB106" s="1">
        <v>9</v>
      </c>
      <c r="AC106" s="1">
        <v>1</v>
      </c>
      <c r="AD106" s="3">
        <v>3.1869999999999998</v>
      </c>
      <c r="AE106" s="1">
        <v>0.118245614035088</v>
      </c>
      <c r="AF106" s="1" t="s">
        <v>178</v>
      </c>
    </row>
    <row r="107" spans="1:32">
      <c r="A107" s="4">
        <v>37925</v>
      </c>
      <c r="B107" s="5">
        <v>1111.617</v>
      </c>
      <c r="C107" s="1">
        <v>2003</v>
      </c>
      <c r="D107" s="1">
        <v>10</v>
      </c>
      <c r="E107" s="1">
        <v>1</v>
      </c>
      <c r="F107" s="3">
        <v>1111.617</v>
      </c>
      <c r="G107" s="3">
        <v>-1.3775524688948401E-2</v>
      </c>
      <c r="H107" s="3" t="s">
        <v>178</v>
      </c>
      <c r="I107" s="4">
        <v>37925</v>
      </c>
      <c r="J107" s="5">
        <v>223.72</v>
      </c>
      <c r="K107" s="1">
        <v>2003</v>
      </c>
      <c r="L107" s="1">
        <v>10</v>
      </c>
      <c r="M107" s="1">
        <v>1</v>
      </c>
      <c r="N107" s="3">
        <v>223.72</v>
      </c>
      <c r="O107" s="3">
        <v>2.9591789774034701E-2</v>
      </c>
      <c r="P107" s="3" t="s">
        <v>178</v>
      </c>
      <c r="Q107" s="4">
        <v>37925</v>
      </c>
      <c r="R107" s="5">
        <v>104.33199999999999</v>
      </c>
      <c r="S107" s="1">
        <v>2003</v>
      </c>
      <c r="T107" s="1">
        <v>10</v>
      </c>
      <c r="U107" s="1">
        <v>1</v>
      </c>
      <c r="V107" s="1">
        <v>104.33199999999999</v>
      </c>
      <c r="W107" s="1">
        <v>-5.9074624590289299E-3</v>
      </c>
      <c r="X107" s="3" t="s">
        <v>178</v>
      </c>
      <c r="Y107" s="4">
        <v>37925</v>
      </c>
      <c r="Z107" s="9">
        <v>3.2719999999999998</v>
      </c>
      <c r="AA107" s="1">
        <v>2003</v>
      </c>
      <c r="AB107" s="1">
        <v>10</v>
      </c>
      <c r="AC107" s="1">
        <v>1</v>
      </c>
      <c r="AD107" s="3">
        <v>3.2719999999999998</v>
      </c>
      <c r="AE107" s="1">
        <v>2.66708503294634E-2</v>
      </c>
      <c r="AF107" s="1" t="s">
        <v>178</v>
      </c>
    </row>
    <row r="108" spans="1:32">
      <c r="A108" s="4">
        <v>37953</v>
      </c>
      <c r="B108" s="5">
        <v>1142.9749999999999</v>
      </c>
      <c r="C108" s="1">
        <v>2003</v>
      </c>
      <c r="D108" s="1">
        <v>11</v>
      </c>
      <c r="E108" s="1">
        <v>1</v>
      </c>
      <c r="F108" s="3">
        <v>1142.9749999999999</v>
      </c>
      <c r="G108" s="3">
        <v>2.8209356280085598E-2</v>
      </c>
      <c r="H108" s="3" t="s">
        <v>178</v>
      </c>
      <c r="I108" s="4">
        <v>37953</v>
      </c>
      <c r="J108" s="5">
        <v>249.88</v>
      </c>
      <c r="K108" s="1">
        <v>2003</v>
      </c>
      <c r="L108" s="1">
        <v>11</v>
      </c>
      <c r="M108" s="1">
        <v>1</v>
      </c>
      <c r="N108" s="3">
        <v>249.88</v>
      </c>
      <c r="O108" s="3">
        <v>0.116931879134633</v>
      </c>
      <c r="P108" s="3" t="s">
        <v>178</v>
      </c>
      <c r="Q108" s="4">
        <v>37953</v>
      </c>
      <c r="R108" s="5">
        <v>104.254</v>
      </c>
      <c r="S108" s="1">
        <v>2003</v>
      </c>
      <c r="T108" s="1">
        <v>11</v>
      </c>
      <c r="U108" s="1">
        <v>1</v>
      </c>
      <c r="V108" s="1">
        <v>104.254</v>
      </c>
      <c r="W108" s="1">
        <v>-7.4761338803041005E-4</v>
      </c>
      <c r="X108" s="3" t="s">
        <v>178</v>
      </c>
      <c r="Y108" s="4">
        <v>37953</v>
      </c>
      <c r="Z108" s="9">
        <v>2.1749999999999998</v>
      </c>
      <c r="AA108" s="1">
        <v>2003</v>
      </c>
      <c r="AB108" s="1">
        <v>11</v>
      </c>
      <c r="AC108" s="1">
        <v>1</v>
      </c>
      <c r="AD108" s="3">
        <v>2.1749999999999998</v>
      </c>
      <c r="AE108" s="1">
        <v>-0.33526894865525703</v>
      </c>
      <c r="AF108" s="1" t="s">
        <v>178</v>
      </c>
    </row>
    <row r="109" spans="1:32">
      <c r="A109" s="4">
        <v>37986</v>
      </c>
      <c r="B109" s="5">
        <v>1194.7439999999999</v>
      </c>
      <c r="C109" s="1">
        <v>2003</v>
      </c>
      <c r="D109" s="1">
        <v>12</v>
      </c>
      <c r="E109" s="1">
        <v>-11</v>
      </c>
      <c r="F109" s="3">
        <v>1194.7439999999999</v>
      </c>
      <c r="G109" s="3">
        <v>4.5293204138323197E-2</v>
      </c>
      <c r="H109" s="3" t="s">
        <v>178</v>
      </c>
      <c r="I109" s="4">
        <v>37986</v>
      </c>
      <c r="J109" s="5">
        <v>238.99</v>
      </c>
      <c r="K109" s="1">
        <v>2003</v>
      </c>
      <c r="L109" s="1">
        <v>12</v>
      </c>
      <c r="M109" s="1">
        <v>-11</v>
      </c>
      <c r="N109" s="3">
        <v>238.99</v>
      </c>
      <c r="O109" s="3">
        <v>-4.3580918841043599E-2</v>
      </c>
      <c r="P109" s="3" t="s">
        <v>178</v>
      </c>
      <c r="Q109" s="4">
        <v>37986</v>
      </c>
      <c r="R109" s="5">
        <v>105.346</v>
      </c>
      <c r="S109" s="1">
        <v>2003</v>
      </c>
      <c r="T109" s="1">
        <v>12</v>
      </c>
      <c r="U109" s="1">
        <v>-11</v>
      </c>
      <c r="V109" s="1">
        <v>105.346</v>
      </c>
      <c r="W109" s="1">
        <v>1.0474418247741099E-2</v>
      </c>
      <c r="X109" s="3" t="s">
        <v>178</v>
      </c>
      <c r="Y109" s="4">
        <v>37986</v>
      </c>
      <c r="Z109" s="9">
        <v>2.133</v>
      </c>
      <c r="AA109" s="1">
        <v>2003</v>
      </c>
      <c r="AB109" s="1">
        <v>12</v>
      </c>
      <c r="AC109" s="1">
        <v>-11</v>
      </c>
      <c r="AD109" s="3">
        <v>2.133</v>
      </c>
      <c r="AE109" s="1">
        <v>-1.93103448275861E-2</v>
      </c>
      <c r="AF109" s="1" t="s">
        <v>178</v>
      </c>
    </row>
    <row r="110" spans="1:32">
      <c r="A110" s="4">
        <v>38016</v>
      </c>
      <c r="B110" s="5">
        <v>1281.3340000000001</v>
      </c>
      <c r="C110" s="1">
        <v>2004</v>
      </c>
      <c r="D110" s="1">
        <v>1</v>
      </c>
      <c r="E110" s="1">
        <v>1</v>
      </c>
      <c r="F110" s="3">
        <v>1281.3340000000001</v>
      </c>
      <c r="G110" s="3">
        <v>7.2475777237634306E-2</v>
      </c>
      <c r="H110" s="3" t="s">
        <v>178</v>
      </c>
      <c r="I110" s="4">
        <v>38016</v>
      </c>
      <c r="J110" s="5">
        <v>245.03</v>
      </c>
      <c r="K110" s="1">
        <v>2004</v>
      </c>
      <c r="L110" s="1">
        <v>1</v>
      </c>
      <c r="M110" s="1">
        <v>1</v>
      </c>
      <c r="N110" s="3">
        <v>245.03</v>
      </c>
      <c r="O110" s="3">
        <v>2.52730239758985E-2</v>
      </c>
      <c r="P110" s="3" t="s">
        <v>178</v>
      </c>
      <c r="Q110" s="4">
        <v>38016</v>
      </c>
      <c r="R110" s="5">
        <v>104.91200000000001</v>
      </c>
      <c r="S110" s="1">
        <v>2004</v>
      </c>
      <c r="T110" s="1">
        <v>1</v>
      </c>
      <c r="U110" s="1">
        <v>1</v>
      </c>
      <c r="V110" s="1">
        <v>104.91200000000001</v>
      </c>
      <c r="W110" s="1">
        <v>-4.1197577506502103E-3</v>
      </c>
      <c r="X110" s="3" t="s">
        <v>178</v>
      </c>
      <c r="Y110" s="4">
        <v>38016</v>
      </c>
      <c r="Z110" s="9">
        <v>2.7320000000000002</v>
      </c>
      <c r="AA110" s="1">
        <v>2004</v>
      </c>
      <c r="AB110" s="1">
        <v>1</v>
      </c>
      <c r="AC110" s="1">
        <v>1</v>
      </c>
      <c r="AD110" s="3">
        <v>2.7320000000000002</v>
      </c>
      <c r="AE110" s="1">
        <v>0.280825128926395</v>
      </c>
      <c r="AF110" s="1" t="s">
        <v>178</v>
      </c>
    </row>
    <row r="111" spans="1:32">
      <c r="A111" s="4">
        <v>38044</v>
      </c>
      <c r="B111" s="5">
        <v>1351.61</v>
      </c>
      <c r="C111" s="1">
        <v>2004</v>
      </c>
      <c r="D111" s="1">
        <v>2</v>
      </c>
      <c r="E111" s="1">
        <v>1</v>
      </c>
      <c r="F111" s="3">
        <v>1351.61</v>
      </c>
      <c r="G111" s="3">
        <v>5.4845965220621497E-2</v>
      </c>
      <c r="H111" s="3" t="s">
        <v>178</v>
      </c>
      <c r="I111" s="4">
        <v>38044</v>
      </c>
      <c r="J111" s="5">
        <v>263.29000000000002</v>
      </c>
      <c r="K111" s="1">
        <v>2004</v>
      </c>
      <c r="L111" s="1">
        <v>2</v>
      </c>
      <c r="M111" s="1">
        <v>1</v>
      </c>
      <c r="N111" s="3">
        <v>263.29000000000002</v>
      </c>
      <c r="O111" s="3">
        <v>7.4521487164837003E-2</v>
      </c>
      <c r="P111" s="3" t="s">
        <v>178</v>
      </c>
      <c r="Q111" s="4">
        <v>38044</v>
      </c>
      <c r="R111" s="5">
        <v>105.529</v>
      </c>
      <c r="S111" s="1">
        <v>2004</v>
      </c>
      <c r="T111" s="1">
        <v>2</v>
      </c>
      <c r="U111" s="1">
        <v>1</v>
      </c>
      <c r="V111" s="1">
        <v>105.529</v>
      </c>
      <c r="W111" s="1">
        <v>5.8811194143662303E-3</v>
      </c>
      <c r="X111" s="3" t="s">
        <v>178</v>
      </c>
      <c r="Y111" s="4">
        <v>38044</v>
      </c>
      <c r="Z111" s="9">
        <v>2.04</v>
      </c>
      <c r="AA111" s="1">
        <v>2004</v>
      </c>
      <c r="AB111" s="1">
        <v>2</v>
      </c>
      <c r="AC111" s="1">
        <v>1</v>
      </c>
      <c r="AD111" s="3">
        <v>2.04</v>
      </c>
      <c r="AE111" s="1">
        <v>-0.25329428989751102</v>
      </c>
      <c r="AF111" s="1" t="s">
        <v>178</v>
      </c>
    </row>
    <row r="112" spans="1:32">
      <c r="A112" s="4">
        <v>38077</v>
      </c>
      <c r="B112" s="5">
        <v>1384.954</v>
      </c>
      <c r="C112" s="1">
        <v>2004</v>
      </c>
      <c r="D112" s="1">
        <v>3</v>
      </c>
      <c r="E112" s="1">
        <v>1</v>
      </c>
      <c r="F112" s="3">
        <v>1384.954</v>
      </c>
      <c r="G112" s="3">
        <v>2.46698381929699E-2</v>
      </c>
      <c r="H112" s="3" t="s">
        <v>178</v>
      </c>
      <c r="I112" s="4">
        <v>38077</v>
      </c>
      <c r="J112" s="5">
        <v>267.63</v>
      </c>
      <c r="K112" s="1">
        <v>2004</v>
      </c>
      <c r="L112" s="1">
        <v>3</v>
      </c>
      <c r="M112" s="1">
        <v>1</v>
      </c>
      <c r="N112" s="3">
        <v>267.63</v>
      </c>
      <c r="O112" s="3">
        <v>1.6483725169964599E-2</v>
      </c>
      <c r="P112" s="3" t="s">
        <v>178</v>
      </c>
      <c r="Q112" s="4">
        <v>38077</v>
      </c>
      <c r="R112" s="5">
        <v>105.193</v>
      </c>
      <c r="S112" s="1">
        <v>2004</v>
      </c>
      <c r="T112" s="1">
        <v>3</v>
      </c>
      <c r="U112" s="1">
        <v>1</v>
      </c>
      <c r="V112" s="1">
        <v>105.193</v>
      </c>
      <c r="W112" s="1">
        <v>-3.1839589117683199E-3</v>
      </c>
      <c r="X112" s="3" t="s">
        <v>178</v>
      </c>
      <c r="Y112" s="4">
        <v>38077</v>
      </c>
      <c r="Z112" s="9">
        <v>1.851</v>
      </c>
      <c r="AA112" s="1">
        <v>2004</v>
      </c>
      <c r="AB112" s="1">
        <v>3</v>
      </c>
      <c r="AC112" s="1">
        <v>1</v>
      </c>
      <c r="AD112" s="3">
        <v>1.851</v>
      </c>
      <c r="AE112" s="1">
        <v>-9.2647058823529402E-2</v>
      </c>
      <c r="AF112" s="1" t="s">
        <v>178</v>
      </c>
    </row>
    <row r="113" spans="1:32">
      <c r="A113" s="4">
        <v>38107</v>
      </c>
      <c r="B113" s="5">
        <v>1239.72</v>
      </c>
      <c r="C113" s="1">
        <v>2004</v>
      </c>
      <c r="D113" s="1">
        <v>4</v>
      </c>
      <c r="E113" s="1">
        <v>1</v>
      </c>
      <c r="F113" s="3">
        <v>1239.72</v>
      </c>
      <c r="G113" s="3">
        <v>-0.104865576762838</v>
      </c>
      <c r="H113" s="3" t="s">
        <v>178</v>
      </c>
      <c r="I113" s="4">
        <v>38107</v>
      </c>
      <c r="J113" s="5">
        <v>265.63</v>
      </c>
      <c r="K113" s="1">
        <v>2004</v>
      </c>
      <c r="L113" s="1">
        <v>4</v>
      </c>
      <c r="M113" s="1">
        <v>1</v>
      </c>
      <c r="N113" s="3">
        <v>265.63</v>
      </c>
      <c r="O113" s="3">
        <v>-7.4730037738669104E-3</v>
      </c>
      <c r="P113" s="3" t="s">
        <v>178</v>
      </c>
      <c r="Q113" s="4">
        <v>38107</v>
      </c>
      <c r="R113" s="5">
        <v>103.791</v>
      </c>
      <c r="S113" s="1">
        <v>2004</v>
      </c>
      <c r="T113" s="1">
        <v>4</v>
      </c>
      <c r="U113" s="1">
        <v>1</v>
      </c>
      <c r="V113" s="1">
        <v>103.791</v>
      </c>
      <c r="W113" s="1">
        <v>-1.33278830340422E-2</v>
      </c>
      <c r="X113" s="3" t="s">
        <v>178</v>
      </c>
      <c r="Y113" s="4">
        <v>38107</v>
      </c>
      <c r="Z113" s="9">
        <v>2.3014999999999999</v>
      </c>
      <c r="AA113" s="1">
        <v>2004</v>
      </c>
      <c r="AB113" s="1">
        <v>4</v>
      </c>
      <c r="AC113" s="1">
        <v>1</v>
      </c>
      <c r="AD113" s="3">
        <v>2.3014999999999999</v>
      </c>
      <c r="AE113" s="1">
        <v>0.24338195569962201</v>
      </c>
      <c r="AF113" s="1" t="s">
        <v>178</v>
      </c>
    </row>
    <row r="114" spans="1:32">
      <c r="A114" s="4">
        <v>38138</v>
      </c>
      <c r="B114" s="5">
        <v>1206.8409999999999</v>
      </c>
      <c r="C114" s="1">
        <v>2004</v>
      </c>
      <c r="D114" s="1">
        <v>5</v>
      </c>
      <c r="E114" s="1">
        <v>1</v>
      </c>
      <c r="F114" s="3">
        <v>1206.8409999999999</v>
      </c>
      <c r="G114" s="3">
        <v>-2.6521311263833901E-2</v>
      </c>
      <c r="H114" s="3" t="s">
        <v>178</v>
      </c>
      <c r="I114" s="4">
        <v>38135</v>
      </c>
      <c r="J114" s="5">
        <v>276.83999999999997</v>
      </c>
      <c r="K114" s="1">
        <v>2004</v>
      </c>
      <c r="L114" s="1">
        <v>5</v>
      </c>
      <c r="M114" s="1">
        <v>1</v>
      </c>
      <c r="N114" s="3">
        <v>276.83999999999997</v>
      </c>
      <c r="O114" s="3">
        <v>4.2201558558897602E-2</v>
      </c>
      <c r="P114" s="3" t="s">
        <v>178</v>
      </c>
      <c r="Q114" s="4">
        <v>38138</v>
      </c>
      <c r="R114" s="5">
        <v>104.111</v>
      </c>
      <c r="S114" s="1">
        <v>2004</v>
      </c>
      <c r="T114" s="1">
        <v>5</v>
      </c>
      <c r="U114" s="1">
        <v>1</v>
      </c>
      <c r="V114" s="1">
        <v>104.111</v>
      </c>
      <c r="W114" s="1">
        <v>3.0831189602181998E-3</v>
      </c>
      <c r="X114" s="3" t="s">
        <v>178</v>
      </c>
      <c r="Y114" s="4">
        <v>38138</v>
      </c>
      <c r="Z114" s="9">
        <v>2.0407000000000002</v>
      </c>
      <c r="AA114" s="1">
        <v>2004</v>
      </c>
      <c r="AB114" s="1">
        <v>5</v>
      </c>
      <c r="AC114" s="1">
        <v>1</v>
      </c>
      <c r="AD114" s="3">
        <v>2.0407000000000002</v>
      </c>
      <c r="AE114" s="1">
        <v>-0.113317401694547</v>
      </c>
      <c r="AF114" s="1" t="s">
        <v>178</v>
      </c>
    </row>
    <row r="115" spans="1:32">
      <c r="A115" s="4">
        <v>38168</v>
      </c>
      <c r="B115" s="5">
        <v>1078.4849999999999</v>
      </c>
      <c r="C115" s="1">
        <v>2004</v>
      </c>
      <c r="D115" s="1">
        <v>6</v>
      </c>
      <c r="E115" s="1">
        <v>1</v>
      </c>
      <c r="F115" s="3">
        <v>1078.4849999999999</v>
      </c>
      <c r="G115" s="3">
        <v>-0.106357009746934</v>
      </c>
      <c r="H115" s="3" t="s">
        <v>178</v>
      </c>
      <c r="I115" s="4">
        <v>38168</v>
      </c>
      <c r="J115" s="5">
        <v>262.60000000000002</v>
      </c>
      <c r="K115" s="1">
        <v>2004</v>
      </c>
      <c r="L115" s="1">
        <v>6</v>
      </c>
      <c r="M115" s="1">
        <v>1</v>
      </c>
      <c r="N115" s="3">
        <v>262.60000000000002</v>
      </c>
      <c r="O115" s="3">
        <v>-5.1437653518277497E-2</v>
      </c>
      <c r="P115" s="3" t="s">
        <v>178</v>
      </c>
      <c r="Q115" s="4">
        <v>38168</v>
      </c>
      <c r="R115" s="5">
        <v>104.01</v>
      </c>
      <c r="S115" s="1">
        <v>2004</v>
      </c>
      <c r="T115" s="1">
        <v>6</v>
      </c>
      <c r="U115" s="1">
        <v>1</v>
      </c>
      <c r="V115" s="1">
        <v>104.01</v>
      </c>
      <c r="W115" s="1">
        <v>-9.7011843128967201E-4</v>
      </c>
      <c r="X115" s="3" t="s">
        <v>178</v>
      </c>
      <c r="Y115" s="4">
        <v>38168</v>
      </c>
      <c r="Z115" s="9">
        <v>2.3079999999999998</v>
      </c>
      <c r="AA115" s="1">
        <v>2004</v>
      </c>
      <c r="AB115" s="1">
        <v>6</v>
      </c>
      <c r="AC115" s="1">
        <v>1</v>
      </c>
      <c r="AD115" s="3">
        <v>2.3079999999999998</v>
      </c>
      <c r="AE115" s="1">
        <v>0.13098446611456799</v>
      </c>
      <c r="AF115" s="1" t="s">
        <v>178</v>
      </c>
    </row>
    <row r="116" spans="1:32">
      <c r="A116" s="4">
        <v>38198</v>
      </c>
      <c r="B116" s="5">
        <v>1088.6769999999999</v>
      </c>
      <c r="C116" s="1">
        <v>2004</v>
      </c>
      <c r="D116" s="1">
        <v>7</v>
      </c>
      <c r="E116" s="1">
        <v>1</v>
      </c>
      <c r="F116" s="3">
        <v>1088.6769999999999</v>
      </c>
      <c r="G116" s="3">
        <v>9.4502936990315204E-3</v>
      </c>
      <c r="H116" s="3" t="s">
        <v>178</v>
      </c>
      <c r="I116" s="4">
        <v>38198</v>
      </c>
      <c r="J116" s="5">
        <v>273.36</v>
      </c>
      <c r="K116" s="1">
        <v>2004</v>
      </c>
      <c r="L116" s="1">
        <v>7</v>
      </c>
      <c r="M116" s="1">
        <v>1</v>
      </c>
      <c r="N116" s="3">
        <v>273.36</v>
      </c>
      <c r="O116" s="3">
        <v>4.0974866717440897E-2</v>
      </c>
      <c r="P116" s="3" t="s">
        <v>178</v>
      </c>
      <c r="Q116" s="4">
        <v>38198</v>
      </c>
      <c r="R116" s="5">
        <v>104.633</v>
      </c>
      <c r="S116" s="1">
        <v>2004</v>
      </c>
      <c r="T116" s="1">
        <v>7</v>
      </c>
      <c r="U116" s="1">
        <v>1</v>
      </c>
      <c r="V116" s="1">
        <v>104.633</v>
      </c>
      <c r="W116" s="1">
        <v>5.9898086722429602E-3</v>
      </c>
      <c r="X116" s="3" t="s">
        <v>178</v>
      </c>
      <c r="Y116" s="4">
        <v>38198</v>
      </c>
      <c r="Z116" s="9">
        <v>2.3673000000000002</v>
      </c>
      <c r="AA116" s="1">
        <v>2004</v>
      </c>
      <c r="AB116" s="1">
        <v>7</v>
      </c>
      <c r="AC116" s="1">
        <v>1</v>
      </c>
      <c r="AD116" s="3">
        <v>2.3673000000000002</v>
      </c>
      <c r="AE116" s="1">
        <v>2.5693240901213301E-2</v>
      </c>
      <c r="AF116" s="1" t="s">
        <v>178</v>
      </c>
    </row>
    <row r="117" spans="1:32">
      <c r="A117" s="4">
        <v>38230</v>
      </c>
      <c r="B117" s="5">
        <v>1055.97</v>
      </c>
      <c r="C117" s="1">
        <v>2004</v>
      </c>
      <c r="D117" s="1">
        <v>8</v>
      </c>
      <c r="E117" s="1">
        <v>1</v>
      </c>
      <c r="F117" s="3">
        <v>1055.97</v>
      </c>
      <c r="G117" s="3">
        <v>-3.0042886916872399E-2</v>
      </c>
      <c r="H117" s="3" t="s">
        <v>178</v>
      </c>
      <c r="I117" s="4">
        <v>38230</v>
      </c>
      <c r="J117" s="5">
        <v>272.52</v>
      </c>
      <c r="K117" s="1">
        <v>2004</v>
      </c>
      <c r="L117" s="1">
        <v>8</v>
      </c>
      <c r="M117" s="1">
        <v>1</v>
      </c>
      <c r="N117" s="3">
        <v>272.52</v>
      </c>
      <c r="O117" s="3">
        <v>-3.0728709394206599E-3</v>
      </c>
      <c r="P117" s="3" t="s">
        <v>178</v>
      </c>
      <c r="Q117" s="4">
        <v>38230</v>
      </c>
      <c r="R117" s="5">
        <v>104.759</v>
      </c>
      <c r="S117" s="1">
        <v>2004</v>
      </c>
      <c r="T117" s="1">
        <v>8</v>
      </c>
      <c r="U117" s="1">
        <v>1</v>
      </c>
      <c r="V117" s="1">
        <v>104.759</v>
      </c>
      <c r="W117" s="1">
        <v>1.20420899716155E-3</v>
      </c>
      <c r="X117" s="3" t="s">
        <v>178</v>
      </c>
      <c r="Y117" s="4">
        <v>38230</v>
      </c>
      <c r="Z117" s="9">
        <v>2.1831999999999998</v>
      </c>
      <c r="AA117" s="1">
        <v>2004</v>
      </c>
      <c r="AB117" s="1">
        <v>8</v>
      </c>
      <c r="AC117" s="1">
        <v>1</v>
      </c>
      <c r="AD117" s="3">
        <v>2.1831999999999998</v>
      </c>
      <c r="AE117" s="1">
        <v>-7.7767921260507897E-2</v>
      </c>
      <c r="AF117" s="1" t="s">
        <v>178</v>
      </c>
    </row>
    <row r="118" spans="1:32">
      <c r="A118" s="4">
        <v>38260</v>
      </c>
      <c r="B118" s="5">
        <v>1109.3240000000001</v>
      </c>
      <c r="C118" s="1">
        <v>2004</v>
      </c>
      <c r="D118" s="1">
        <v>9</v>
      </c>
      <c r="E118" s="1">
        <v>1</v>
      </c>
      <c r="F118" s="3">
        <v>1109.3240000000001</v>
      </c>
      <c r="G118" s="3">
        <v>5.0526056611456802E-2</v>
      </c>
      <c r="H118" s="3" t="s">
        <v>178</v>
      </c>
      <c r="I118" s="4">
        <v>38260</v>
      </c>
      <c r="J118" s="5">
        <v>289.08</v>
      </c>
      <c r="K118" s="1">
        <v>2004</v>
      </c>
      <c r="L118" s="1">
        <v>9</v>
      </c>
      <c r="M118" s="1">
        <v>1</v>
      </c>
      <c r="N118" s="3">
        <v>289.08</v>
      </c>
      <c r="O118" s="3">
        <v>6.0766182298546897E-2</v>
      </c>
      <c r="P118" s="3" t="s">
        <v>178</v>
      </c>
      <c r="Q118" s="4">
        <v>38260</v>
      </c>
      <c r="R118" s="5">
        <v>104.639</v>
      </c>
      <c r="S118" s="1">
        <v>2004</v>
      </c>
      <c r="T118" s="1">
        <v>9</v>
      </c>
      <c r="U118" s="1">
        <v>1</v>
      </c>
      <c r="V118" s="1">
        <v>104.639</v>
      </c>
      <c r="W118" s="1">
        <v>-1.1454863066658199E-3</v>
      </c>
      <c r="X118" s="3" t="s">
        <v>178</v>
      </c>
      <c r="Y118" s="4">
        <v>38260</v>
      </c>
      <c r="Z118" s="9">
        <v>2.2547999999999999</v>
      </c>
      <c r="AA118" s="1">
        <v>2004</v>
      </c>
      <c r="AB118" s="1">
        <v>9</v>
      </c>
      <c r="AC118" s="1">
        <v>1</v>
      </c>
      <c r="AD118" s="3">
        <v>2.2547999999999999</v>
      </c>
      <c r="AE118" s="1">
        <v>3.2795895932576098E-2</v>
      </c>
      <c r="AF118" s="1" t="s">
        <v>178</v>
      </c>
    </row>
    <row r="119" spans="1:32">
      <c r="A119" s="4">
        <v>38289</v>
      </c>
      <c r="B119" s="5">
        <v>1050.299</v>
      </c>
      <c r="C119" s="1">
        <v>2004</v>
      </c>
      <c r="D119" s="1">
        <v>10</v>
      </c>
      <c r="E119" s="1">
        <v>1</v>
      </c>
      <c r="F119" s="3">
        <v>1050.299</v>
      </c>
      <c r="G119" s="3">
        <v>-5.3208079875672103E-2</v>
      </c>
      <c r="H119" s="3" t="s">
        <v>178</v>
      </c>
      <c r="I119" s="4">
        <v>38289</v>
      </c>
      <c r="J119" s="5">
        <v>291.94</v>
      </c>
      <c r="K119" s="1">
        <v>2004</v>
      </c>
      <c r="L119" s="1">
        <v>10</v>
      </c>
      <c r="M119" s="1">
        <v>1</v>
      </c>
      <c r="N119" s="3">
        <v>291.94</v>
      </c>
      <c r="O119" s="3">
        <v>9.8934550989346007E-3</v>
      </c>
      <c r="P119" s="3" t="s">
        <v>178</v>
      </c>
      <c r="Q119" s="4">
        <v>38289</v>
      </c>
      <c r="R119" s="5">
        <v>104.971</v>
      </c>
      <c r="S119" s="1">
        <v>2004</v>
      </c>
      <c r="T119" s="1">
        <v>10</v>
      </c>
      <c r="U119" s="1">
        <v>1</v>
      </c>
      <c r="V119" s="1">
        <v>104.971</v>
      </c>
      <c r="W119" s="1">
        <v>3.1728131958448399E-3</v>
      </c>
      <c r="X119" s="3" t="s">
        <v>178</v>
      </c>
      <c r="Y119" s="4">
        <v>38289</v>
      </c>
      <c r="Z119" s="9">
        <v>2.2037</v>
      </c>
      <c r="AA119" s="1">
        <v>2004</v>
      </c>
      <c r="AB119" s="1">
        <v>10</v>
      </c>
      <c r="AC119" s="1">
        <v>1</v>
      </c>
      <c r="AD119" s="3">
        <v>2.2037</v>
      </c>
      <c r="AE119" s="1">
        <v>-2.2662763881497201E-2</v>
      </c>
      <c r="AF119" s="1" t="s">
        <v>178</v>
      </c>
    </row>
    <row r="120" spans="1:32">
      <c r="A120" s="4">
        <v>38321</v>
      </c>
      <c r="B120" s="5">
        <v>1062.8140000000001</v>
      </c>
      <c r="C120" s="1">
        <v>2004</v>
      </c>
      <c r="D120" s="1">
        <v>11</v>
      </c>
      <c r="E120" s="1">
        <v>1</v>
      </c>
      <c r="F120" s="3">
        <v>1062.8140000000001</v>
      </c>
      <c r="G120" s="3">
        <v>1.1915654494577399E-2</v>
      </c>
      <c r="H120" s="3" t="s">
        <v>178</v>
      </c>
      <c r="I120" s="4">
        <v>38321</v>
      </c>
      <c r="J120" s="5">
        <v>292.20999999999998</v>
      </c>
      <c r="K120" s="1">
        <v>2004</v>
      </c>
      <c r="L120" s="1">
        <v>11</v>
      </c>
      <c r="M120" s="1">
        <v>1</v>
      </c>
      <c r="N120" s="3">
        <v>292.20999999999998</v>
      </c>
      <c r="O120" s="3">
        <v>9.2484757141872204E-4</v>
      </c>
      <c r="P120" s="3" t="s">
        <v>178</v>
      </c>
      <c r="Q120" s="4">
        <v>38321</v>
      </c>
      <c r="R120" s="5">
        <v>104.773</v>
      </c>
      <c r="S120" s="1">
        <v>2004</v>
      </c>
      <c r="T120" s="1">
        <v>11</v>
      </c>
      <c r="U120" s="1">
        <v>1</v>
      </c>
      <c r="V120" s="1">
        <v>104.773</v>
      </c>
      <c r="W120" s="1">
        <v>-1.8862352459251401E-3</v>
      </c>
      <c r="X120" s="3" t="s">
        <v>178</v>
      </c>
      <c r="Y120" s="4">
        <v>38321</v>
      </c>
      <c r="Z120" s="9">
        <v>2.0451999999999999</v>
      </c>
      <c r="AA120" s="1">
        <v>2004</v>
      </c>
      <c r="AB120" s="1">
        <v>11</v>
      </c>
      <c r="AC120" s="1">
        <v>1</v>
      </c>
      <c r="AD120" s="3">
        <v>2.0451999999999999</v>
      </c>
      <c r="AE120" s="1">
        <v>-7.1924490629396098E-2</v>
      </c>
      <c r="AF120" s="1" t="s">
        <v>178</v>
      </c>
    </row>
    <row r="121" spans="1:32">
      <c r="A121" s="4">
        <v>39538</v>
      </c>
      <c r="B121" s="5">
        <v>3790.53</v>
      </c>
      <c r="C121" s="1">
        <v>2008</v>
      </c>
      <c r="D121" s="1">
        <v>3</v>
      </c>
      <c r="E121" s="1">
        <v>1</v>
      </c>
      <c r="F121" s="3">
        <v>3790.53</v>
      </c>
      <c r="G121" s="3">
        <v>-0.18911339059374699</v>
      </c>
      <c r="H121" s="3" t="s">
        <v>178</v>
      </c>
      <c r="I121" s="4">
        <v>39538</v>
      </c>
      <c r="J121" s="5">
        <v>386.89</v>
      </c>
      <c r="K121" s="1">
        <v>2008</v>
      </c>
      <c r="L121" s="1">
        <v>3</v>
      </c>
      <c r="M121" s="1">
        <v>1</v>
      </c>
      <c r="N121" s="3">
        <v>386.89</v>
      </c>
      <c r="O121" s="3">
        <v>-6.2675646865006304E-2</v>
      </c>
      <c r="P121" s="3" t="s">
        <v>178</v>
      </c>
      <c r="Q121" s="4">
        <v>39538</v>
      </c>
      <c r="R121" s="5">
        <v>120.999</v>
      </c>
      <c r="S121" s="1">
        <v>2008</v>
      </c>
      <c r="T121" s="1">
        <v>3</v>
      </c>
      <c r="U121" s="1">
        <v>1</v>
      </c>
      <c r="V121" s="1">
        <v>120.999</v>
      </c>
      <c r="W121" s="1">
        <v>6.5551405445424798E-3</v>
      </c>
      <c r="X121" s="3" t="s">
        <v>178</v>
      </c>
      <c r="Y121" s="4">
        <v>39538</v>
      </c>
      <c r="Z121" s="9">
        <v>2.2967</v>
      </c>
      <c r="AA121" s="1">
        <v>2008</v>
      </c>
      <c r="AB121" s="1">
        <v>3</v>
      </c>
      <c r="AC121" s="1">
        <v>1</v>
      </c>
      <c r="AD121" s="3">
        <v>2.2967</v>
      </c>
      <c r="AE121" s="1">
        <v>-7.7778670093157795E-2</v>
      </c>
      <c r="AF121" s="1" t="s">
        <v>178</v>
      </c>
    </row>
    <row r="122" spans="1:32">
      <c r="A122" s="4">
        <v>39568</v>
      </c>
      <c r="B122" s="5">
        <v>3959.1190000000001</v>
      </c>
      <c r="C122" s="1">
        <v>2008</v>
      </c>
      <c r="D122" s="1">
        <v>4</v>
      </c>
      <c r="E122" s="1">
        <v>1</v>
      </c>
      <c r="F122" s="3">
        <v>3959.1190000000001</v>
      </c>
      <c r="G122" s="3">
        <v>4.4476366101838E-2</v>
      </c>
      <c r="H122" s="3" t="s">
        <v>178</v>
      </c>
      <c r="I122" s="4">
        <v>39568</v>
      </c>
      <c r="J122" s="5">
        <v>409.27</v>
      </c>
      <c r="K122" s="1">
        <v>2008</v>
      </c>
      <c r="L122" s="1">
        <v>4</v>
      </c>
      <c r="M122" s="1">
        <v>1</v>
      </c>
      <c r="N122" s="3">
        <v>409.27</v>
      </c>
      <c r="O122" s="3">
        <v>5.7845899351236803E-2</v>
      </c>
      <c r="P122" s="3" t="s">
        <v>178</v>
      </c>
      <c r="Q122" s="4">
        <v>39568</v>
      </c>
      <c r="R122" s="5">
        <v>121.223</v>
      </c>
      <c r="S122" s="1">
        <v>2008</v>
      </c>
      <c r="T122" s="1">
        <v>4</v>
      </c>
      <c r="U122" s="1">
        <v>1</v>
      </c>
      <c r="V122" s="1">
        <v>121.223</v>
      </c>
      <c r="W122" s="1">
        <v>1.8512549690493599E-3</v>
      </c>
      <c r="X122" s="3" t="s">
        <v>178</v>
      </c>
      <c r="Y122" s="4">
        <v>39568</v>
      </c>
      <c r="Z122" s="9">
        <v>2.2019000000000002</v>
      </c>
      <c r="AA122" s="1">
        <v>2008</v>
      </c>
      <c r="AB122" s="1">
        <v>4</v>
      </c>
      <c r="AC122" s="1">
        <v>1</v>
      </c>
      <c r="AD122" s="3">
        <v>2.2019000000000002</v>
      </c>
      <c r="AE122" s="1">
        <v>-4.1276614272652001E-2</v>
      </c>
      <c r="AF122" s="1" t="s">
        <v>178</v>
      </c>
    </row>
    <row r="123" spans="1:32">
      <c r="A123" s="4">
        <v>39598</v>
      </c>
      <c r="B123" s="5">
        <v>3611.33</v>
      </c>
      <c r="C123" s="1">
        <v>2008</v>
      </c>
      <c r="D123" s="1">
        <v>5</v>
      </c>
      <c r="E123" s="1">
        <v>1</v>
      </c>
      <c r="F123" s="3">
        <v>3611.33</v>
      </c>
      <c r="G123" s="3">
        <v>-8.7845048355454897E-2</v>
      </c>
      <c r="H123" s="3" t="s">
        <v>178</v>
      </c>
      <c r="I123" s="4">
        <v>39598</v>
      </c>
      <c r="J123" s="5">
        <v>422.17</v>
      </c>
      <c r="K123" s="1">
        <v>2008</v>
      </c>
      <c r="L123" s="1">
        <v>5</v>
      </c>
      <c r="M123" s="1">
        <v>1</v>
      </c>
      <c r="N123" s="3">
        <v>422.17</v>
      </c>
      <c r="O123" s="3">
        <v>3.1519534781440199E-2</v>
      </c>
      <c r="P123" s="3" t="s">
        <v>178</v>
      </c>
      <c r="Q123" s="4">
        <v>39598</v>
      </c>
      <c r="R123" s="5">
        <v>121.255</v>
      </c>
      <c r="S123" s="1">
        <v>2008</v>
      </c>
      <c r="T123" s="1">
        <v>5</v>
      </c>
      <c r="U123" s="1">
        <v>1</v>
      </c>
      <c r="V123" s="1">
        <v>121.255</v>
      </c>
      <c r="W123" s="1">
        <v>2.6397630812631702E-4</v>
      </c>
      <c r="X123" s="3" t="s">
        <v>178</v>
      </c>
      <c r="Y123" s="4">
        <v>39598</v>
      </c>
      <c r="Z123" s="9">
        <v>2.8573</v>
      </c>
      <c r="AA123" s="1">
        <v>2008</v>
      </c>
      <c r="AB123" s="1">
        <v>5</v>
      </c>
      <c r="AC123" s="1">
        <v>1</v>
      </c>
      <c r="AD123" s="3">
        <v>2.8573</v>
      </c>
      <c r="AE123" s="1">
        <v>0.29765202779417799</v>
      </c>
      <c r="AF123" s="1" t="s">
        <v>178</v>
      </c>
    </row>
    <row r="124" spans="1:32">
      <c r="A124" s="4">
        <v>39629</v>
      </c>
      <c r="B124" s="5">
        <v>2791.819</v>
      </c>
      <c r="C124" s="1">
        <v>2008</v>
      </c>
      <c r="D124" s="1">
        <v>6</v>
      </c>
      <c r="E124" s="1">
        <v>1</v>
      </c>
      <c r="F124" s="3">
        <v>2791.819</v>
      </c>
      <c r="G124" s="3">
        <v>-0.226927752379317</v>
      </c>
      <c r="H124" s="3" t="s">
        <v>178</v>
      </c>
      <c r="I124" s="4">
        <v>39629</v>
      </c>
      <c r="J124" s="5">
        <v>462.74</v>
      </c>
      <c r="K124" s="1">
        <v>2008</v>
      </c>
      <c r="L124" s="1">
        <v>6</v>
      </c>
      <c r="M124" s="1">
        <v>1</v>
      </c>
      <c r="N124" s="3">
        <v>462.74</v>
      </c>
      <c r="O124" s="3">
        <v>9.6098728000568498E-2</v>
      </c>
      <c r="P124" s="3" t="s">
        <v>178</v>
      </c>
      <c r="Q124" s="4">
        <v>39629</v>
      </c>
      <c r="R124" s="5">
        <v>120.461</v>
      </c>
      <c r="S124" s="1">
        <v>2008</v>
      </c>
      <c r="T124" s="1">
        <v>6</v>
      </c>
      <c r="U124" s="1">
        <v>1</v>
      </c>
      <c r="V124" s="1">
        <v>120.461</v>
      </c>
      <c r="W124" s="1">
        <v>-6.5481835800585298E-3</v>
      </c>
      <c r="X124" s="3" t="s">
        <v>178</v>
      </c>
      <c r="Y124" s="4">
        <v>39629</v>
      </c>
      <c r="Z124" s="9">
        <v>2.7976999999999999</v>
      </c>
      <c r="AA124" s="1">
        <v>2008</v>
      </c>
      <c r="AB124" s="1">
        <v>6</v>
      </c>
      <c r="AC124" s="1">
        <v>1</v>
      </c>
      <c r="AD124" s="3">
        <v>2.7976999999999999</v>
      </c>
      <c r="AE124" s="1">
        <v>-2.0858852763098099E-2</v>
      </c>
      <c r="AF124" s="1" t="s">
        <v>178</v>
      </c>
    </row>
    <row r="125" spans="1:32">
      <c r="A125" s="4">
        <v>39660</v>
      </c>
      <c r="B125" s="5">
        <v>2805.21</v>
      </c>
      <c r="C125" s="1">
        <v>2008</v>
      </c>
      <c r="D125" s="1">
        <v>7</v>
      </c>
      <c r="E125" s="1">
        <v>1</v>
      </c>
      <c r="F125" s="3">
        <v>2805.21</v>
      </c>
      <c r="G125" s="3">
        <v>4.7965143872149597E-3</v>
      </c>
      <c r="H125" s="3" t="s">
        <v>178</v>
      </c>
      <c r="I125" s="4">
        <v>39660</v>
      </c>
      <c r="J125" s="5">
        <v>416.4</v>
      </c>
      <c r="K125" s="1">
        <v>2008</v>
      </c>
      <c r="L125" s="1">
        <v>7</v>
      </c>
      <c r="M125" s="1">
        <v>1</v>
      </c>
      <c r="N125" s="3">
        <v>416.4</v>
      </c>
      <c r="O125" s="3">
        <v>-0.100142628689977</v>
      </c>
      <c r="P125" s="3" t="s">
        <v>178</v>
      </c>
      <c r="Q125" s="4">
        <v>39660</v>
      </c>
      <c r="R125" s="5">
        <v>120.83199999999999</v>
      </c>
      <c r="S125" s="1">
        <v>2008</v>
      </c>
      <c r="T125" s="1">
        <v>7</v>
      </c>
      <c r="U125" s="1">
        <v>1</v>
      </c>
      <c r="V125" s="1">
        <v>120.83199999999999</v>
      </c>
      <c r="W125" s="1">
        <v>3.0798349673337899E-3</v>
      </c>
      <c r="X125" s="3" t="s">
        <v>178</v>
      </c>
      <c r="Y125" s="4">
        <v>39660</v>
      </c>
      <c r="Z125" s="9">
        <v>2.5283000000000002</v>
      </c>
      <c r="AA125" s="1">
        <v>2008</v>
      </c>
      <c r="AB125" s="1">
        <v>7</v>
      </c>
      <c r="AC125" s="1">
        <v>1</v>
      </c>
      <c r="AD125" s="3">
        <v>2.5283000000000002</v>
      </c>
      <c r="AE125" s="1">
        <v>-9.6293383851020403E-2</v>
      </c>
      <c r="AF125" s="1" t="s">
        <v>178</v>
      </c>
    </row>
    <row r="126" spans="1:32">
      <c r="A126" s="4">
        <v>39689</v>
      </c>
      <c r="B126" s="5">
        <v>2391.64</v>
      </c>
      <c r="C126" s="1">
        <v>2008</v>
      </c>
      <c r="D126" s="1">
        <v>8</v>
      </c>
      <c r="E126" s="1">
        <v>1</v>
      </c>
      <c r="F126" s="3">
        <v>2391.64</v>
      </c>
      <c r="G126" s="3">
        <v>-0.147429247721205</v>
      </c>
      <c r="H126" s="3" t="s">
        <v>178</v>
      </c>
      <c r="I126" s="4">
        <v>39689</v>
      </c>
      <c r="J126" s="5">
        <v>391.71</v>
      </c>
      <c r="K126" s="1">
        <v>2008</v>
      </c>
      <c r="L126" s="1">
        <v>8</v>
      </c>
      <c r="M126" s="1">
        <v>1</v>
      </c>
      <c r="N126" s="3">
        <v>391.71</v>
      </c>
      <c r="O126" s="3">
        <v>-5.9293948126801201E-2</v>
      </c>
      <c r="P126" s="3" t="s">
        <v>178</v>
      </c>
      <c r="Q126" s="4">
        <v>39689</v>
      </c>
      <c r="R126" s="5">
        <v>122.038</v>
      </c>
      <c r="S126" s="1">
        <v>2008</v>
      </c>
      <c r="T126" s="1">
        <v>8</v>
      </c>
      <c r="U126" s="1">
        <v>1</v>
      </c>
      <c r="V126" s="1">
        <v>122.038</v>
      </c>
      <c r="W126" s="1">
        <v>9.9807997881356195E-3</v>
      </c>
      <c r="X126" s="3" t="s">
        <v>178</v>
      </c>
      <c r="Y126" s="4">
        <v>39689</v>
      </c>
      <c r="Z126" s="9">
        <v>2.641</v>
      </c>
      <c r="AA126" s="1">
        <v>2008</v>
      </c>
      <c r="AB126" s="1">
        <v>8</v>
      </c>
      <c r="AC126" s="1">
        <v>1</v>
      </c>
      <c r="AD126" s="3">
        <v>2.641</v>
      </c>
      <c r="AE126" s="1">
        <v>4.4575406399556899E-2</v>
      </c>
      <c r="AF126" s="1" t="s">
        <v>178</v>
      </c>
    </row>
    <row r="127" spans="1:32">
      <c r="A127" s="4">
        <v>39717</v>
      </c>
      <c r="B127" s="5">
        <v>2243.6570000000002</v>
      </c>
      <c r="C127" s="1">
        <v>2008</v>
      </c>
      <c r="D127" s="1">
        <v>9</v>
      </c>
      <c r="E127" s="1">
        <v>1</v>
      </c>
      <c r="F127" s="3">
        <v>2243.6570000000002</v>
      </c>
      <c r="G127" s="3">
        <v>-6.1875114983860301E-2</v>
      </c>
      <c r="H127" s="3" t="s">
        <v>178</v>
      </c>
      <c r="I127" s="4">
        <v>39717</v>
      </c>
      <c r="J127" s="5">
        <v>364.57</v>
      </c>
      <c r="K127" s="1">
        <v>2008</v>
      </c>
      <c r="L127" s="1">
        <v>9</v>
      </c>
      <c r="M127" s="1">
        <v>1</v>
      </c>
      <c r="N127" s="3">
        <v>364.57</v>
      </c>
      <c r="O127" s="3">
        <v>-6.92859513415537E-2</v>
      </c>
      <c r="P127" s="3" t="s">
        <v>178</v>
      </c>
      <c r="Q127" s="4">
        <v>39717</v>
      </c>
      <c r="R127" s="5">
        <v>124.98399999999999</v>
      </c>
      <c r="S127" s="1">
        <v>2008</v>
      </c>
      <c r="T127" s="1">
        <v>9</v>
      </c>
      <c r="U127" s="1">
        <v>1</v>
      </c>
      <c r="V127" s="1">
        <v>124.98399999999999</v>
      </c>
      <c r="W127" s="1">
        <v>2.4140021960373001E-2</v>
      </c>
      <c r="X127" s="3" t="s">
        <v>178</v>
      </c>
      <c r="Y127" s="4">
        <v>39719</v>
      </c>
      <c r="Z127" s="9">
        <v>3.1932999999999998</v>
      </c>
      <c r="AA127" s="1">
        <v>2008</v>
      </c>
      <c r="AB127" s="1">
        <v>9</v>
      </c>
      <c r="AC127" s="1">
        <v>1</v>
      </c>
      <c r="AD127" s="3">
        <v>3.1932999999999998</v>
      </c>
      <c r="AE127" s="1">
        <v>0.20912533131389599</v>
      </c>
      <c r="AF127" s="1" t="s">
        <v>178</v>
      </c>
    </row>
    <row r="128" spans="1:32">
      <c r="A128" s="4">
        <v>40207</v>
      </c>
      <c r="B128" s="5">
        <v>3204.1550000000002</v>
      </c>
      <c r="C128" s="1">
        <v>2010</v>
      </c>
      <c r="D128" s="1">
        <v>1</v>
      </c>
      <c r="E128" s="1">
        <v>1</v>
      </c>
      <c r="F128" s="3">
        <v>3204.1550000000002</v>
      </c>
      <c r="G128" s="3">
        <v>-0.103904315929484</v>
      </c>
      <c r="H128" s="3" t="s">
        <v>178</v>
      </c>
      <c r="I128" s="4">
        <v>40207</v>
      </c>
      <c r="J128" s="5">
        <v>265.58999999999997</v>
      </c>
      <c r="K128" s="1">
        <v>2010</v>
      </c>
      <c r="L128" s="1">
        <v>1</v>
      </c>
      <c r="M128" s="1">
        <v>1</v>
      </c>
      <c r="N128" s="3">
        <v>265.58999999999997</v>
      </c>
      <c r="O128" s="3">
        <v>-6.2777895405462705E-2</v>
      </c>
      <c r="P128" s="3" t="s">
        <v>178</v>
      </c>
      <c r="Q128" s="4">
        <v>40207</v>
      </c>
      <c r="R128" s="5">
        <v>132.17660000000001</v>
      </c>
      <c r="S128" s="1">
        <v>2010</v>
      </c>
      <c r="T128" s="1">
        <v>1</v>
      </c>
      <c r="U128" s="1">
        <v>1</v>
      </c>
      <c r="V128" s="1">
        <v>132.17660000000001</v>
      </c>
      <c r="W128" s="1">
        <v>4.1761980263912701E-3</v>
      </c>
      <c r="X128" s="3" t="s">
        <v>178</v>
      </c>
      <c r="Y128" s="4">
        <v>40207</v>
      </c>
      <c r="Z128" s="9">
        <v>1.3617999999999999</v>
      </c>
      <c r="AA128" s="1">
        <v>2010</v>
      </c>
      <c r="AB128" s="1">
        <v>1</v>
      </c>
      <c r="AC128" s="1">
        <v>1</v>
      </c>
      <c r="AD128" s="3">
        <v>1.3617999999999999</v>
      </c>
      <c r="AE128" s="1">
        <v>0.18345355001303501</v>
      </c>
      <c r="AF128" s="1" t="s">
        <v>178</v>
      </c>
    </row>
    <row r="129" spans="1:32">
      <c r="A129" s="4">
        <v>40235</v>
      </c>
      <c r="B129" s="5">
        <v>3281.6660000000002</v>
      </c>
      <c r="C129" s="1">
        <v>2010</v>
      </c>
      <c r="D129" s="1">
        <v>2</v>
      </c>
      <c r="E129" s="1">
        <v>1</v>
      </c>
      <c r="F129" s="3">
        <v>3281.6660000000002</v>
      </c>
      <c r="G129" s="3">
        <v>2.4190777287615602E-2</v>
      </c>
      <c r="H129" s="3" t="s">
        <v>178</v>
      </c>
      <c r="I129" s="4">
        <v>40235</v>
      </c>
      <c r="J129" s="5">
        <v>274.77999999999997</v>
      </c>
      <c r="K129" s="1">
        <v>2010</v>
      </c>
      <c r="L129" s="1">
        <v>2</v>
      </c>
      <c r="M129" s="1">
        <v>1</v>
      </c>
      <c r="N129" s="3">
        <v>274.77999999999997</v>
      </c>
      <c r="O129" s="3">
        <v>3.4602206408373803E-2</v>
      </c>
      <c r="P129" s="3" t="s">
        <v>178</v>
      </c>
      <c r="Q129" s="4">
        <v>40235</v>
      </c>
      <c r="R129" s="5">
        <v>133.16239999999999</v>
      </c>
      <c r="S129" s="1">
        <v>2010</v>
      </c>
      <c r="T129" s="1">
        <v>2</v>
      </c>
      <c r="U129" s="1">
        <v>1</v>
      </c>
      <c r="V129" s="1">
        <v>133.16239999999999</v>
      </c>
      <c r="W129" s="1">
        <v>7.4582036457283901E-3</v>
      </c>
      <c r="X129" s="3" t="s">
        <v>178</v>
      </c>
      <c r="Y129" s="4">
        <v>40235</v>
      </c>
      <c r="Z129" s="9">
        <v>1.4374</v>
      </c>
      <c r="AA129" s="1">
        <v>2010</v>
      </c>
      <c r="AB129" s="1">
        <v>2</v>
      </c>
      <c r="AC129" s="1">
        <v>1</v>
      </c>
      <c r="AD129" s="3">
        <v>1.4374</v>
      </c>
      <c r="AE129" s="1">
        <v>5.5514759876633901E-2</v>
      </c>
      <c r="AF129" s="1" t="s">
        <v>178</v>
      </c>
    </row>
    <row r="130" spans="1:32">
      <c r="A130" s="4">
        <v>40268</v>
      </c>
      <c r="B130" s="5">
        <v>3345.607</v>
      </c>
      <c r="C130" s="1">
        <v>2010</v>
      </c>
      <c r="D130" s="1">
        <v>3</v>
      </c>
      <c r="E130" s="1">
        <v>1</v>
      </c>
      <c r="F130" s="3">
        <v>3345.607</v>
      </c>
      <c r="G130" s="3">
        <v>1.9484310712912199E-2</v>
      </c>
      <c r="H130" s="3" t="s">
        <v>178</v>
      </c>
      <c r="I130" s="4">
        <v>40268</v>
      </c>
      <c r="J130" s="5">
        <v>273.33999999999997</v>
      </c>
      <c r="K130" s="1">
        <v>2010</v>
      </c>
      <c r="L130" s="1">
        <v>3</v>
      </c>
      <c r="M130" s="1">
        <v>1</v>
      </c>
      <c r="N130" s="3">
        <v>273.33999999999997</v>
      </c>
      <c r="O130" s="3">
        <v>-5.2405560812286102E-3</v>
      </c>
      <c r="P130" s="3" t="s">
        <v>178</v>
      </c>
      <c r="Q130" s="4">
        <v>40268</v>
      </c>
      <c r="R130" s="5">
        <v>133.86080000000001</v>
      </c>
      <c r="S130" s="1">
        <v>2010</v>
      </c>
      <c r="T130" s="1">
        <v>3</v>
      </c>
      <c r="U130" s="1">
        <v>1</v>
      </c>
      <c r="V130" s="1">
        <v>133.86080000000001</v>
      </c>
      <c r="W130" s="1">
        <v>5.24472373582949E-3</v>
      </c>
      <c r="X130" s="3" t="s">
        <v>178</v>
      </c>
      <c r="Y130" s="4">
        <v>40268</v>
      </c>
      <c r="Z130" s="9">
        <v>1.3447</v>
      </c>
      <c r="AA130" s="1">
        <v>2010</v>
      </c>
      <c r="AB130" s="1">
        <v>3</v>
      </c>
      <c r="AC130" s="1">
        <v>1</v>
      </c>
      <c r="AD130" s="3">
        <v>1.3447</v>
      </c>
      <c r="AE130" s="1">
        <v>-6.4491442882983196E-2</v>
      </c>
      <c r="AF130" s="1" t="s">
        <v>178</v>
      </c>
    </row>
    <row r="131" spans="1:32">
      <c r="A131" s="4">
        <v>40298</v>
      </c>
      <c r="B131" s="5">
        <v>3067.3649999999998</v>
      </c>
      <c r="C131" s="1">
        <v>2010</v>
      </c>
      <c r="D131" s="1">
        <v>4</v>
      </c>
      <c r="E131" s="1">
        <v>1</v>
      </c>
      <c r="F131" s="3">
        <v>3067.3649999999998</v>
      </c>
      <c r="G131" s="3">
        <v>-8.3166373097617305E-2</v>
      </c>
      <c r="H131" s="3" t="s">
        <v>178</v>
      </c>
      <c r="I131" s="4">
        <v>40298</v>
      </c>
      <c r="J131" s="5">
        <v>277.70999999999998</v>
      </c>
      <c r="K131" s="1">
        <v>2010</v>
      </c>
      <c r="L131" s="1">
        <v>4</v>
      </c>
      <c r="M131" s="1">
        <v>1</v>
      </c>
      <c r="N131" s="3">
        <v>277.70999999999998</v>
      </c>
      <c r="O131" s="3">
        <v>1.5987414941098999E-2</v>
      </c>
      <c r="P131" s="3" t="s">
        <v>178</v>
      </c>
      <c r="Q131" s="4">
        <v>40298</v>
      </c>
      <c r="R131" s="5">
        <v>134.61969999999999</v>
      </c>
      <c r="S131" s="1">
        <v>2010</v>
      </c>
      <c r="T131" s="1">
        <v>4</v>
      </c>
      <c r="U131" s="1">
        <v>1</v>
      </c>
      <c r="V131" s="1">
        <v>134.61969999999999</v>
      </c>
      <c r="W131" s="1">
        <v>5.6693221615288598E-3</v>
      </c>
      <c r="X131" s="3" t="s">
        <v>178</v>
      </c>
      <c r="Y131" s="4">
        <v>40298</v>
      </c>
      <c r="Z131" s="9">
        <v>1.4024000000000001</v>
      </c>
      <c r="AA131" s="1">
        <v>2010</v>
      </c>
      <c r="AB131" s="1">
        <v>4</v>
      </c>
      <c r="AC131" s="1">
        <v>1</v>
      </c>
      <c r="AD131" s="3">
        <v>1.4024000000000001</v>
      </c>
      <c r="AE131" s="1">
        <v>4.2909199077861303E-2</v>
      </c>
      <c r="AF131" s="1" t="s">
        <v>178</v>
      </c>
    </row>
    <row r="132" spans="1:32">
      <c r="A132" s="4">
        <v>40329</v>
      </c>
      <c r="B132" s="5">
        <v>2773.2640000000001</v>
      </c>
      <c r="C132" s="1">
        <v>2010</v>
      </c>
      <c r="D132" s="1">
        <v>5</v>
      </c>
      <c r="E132" s="1">
        <v>1</v>
      </c>
      <c r="F132" s="3">
        <v>2773.2640000000001</v>
      </c>
      <c r="G132" s="3">
        <v>-9.5880666304792403E-2</v>
      </c>
      <c r="H132" s="3" t="s">
        <v>178</v>
      </c>
      <c r="I132" s="4">
        <v>40326</v>
      </c>
      <c r="J132" s="5">
        <v>254.8</v>
      </c>
      <c r="K132" s="1">
        <v>2010</v>
      </c>
      <c r="L132" s="1">
        <v>5</v>
      </c>
      <c r="M132" s="1">
        <v>1</v>
      </c>
      <c r="N132" s="3">
        <v>254.8</v>
      </c>
      <c r="O132" s="3">
        <v>-8.2496129055489406E-2</v>
      </c>
      <c r="P132" s="3" t="s">
        <v>178</v>
      </c>
      <c r="Q132" s="4">
        <v>40329</v>
      </c>
      <c r="R132" s="5">
        <v>135.30840000000001</v>
      </c>
      <c r="S132" s="1">
        <v>2010</v>
      </c>
      <c r="T132" s="1">
        <v>5</v>
      </c>
      <c r="U132" s="1">
        <v>1</v>
      </c>
      <c r="V132" s="1">
        <v>135.30840000000001</v>
      </c>
      <c r="W132" s="1">
        <v>5.1158931419399301E-3</v>
      </c>
      <c r="X132" s="3" t="s">
        <v>178</v>
      </c>
      <c r="Y132" s="4">
        <v>40329</v>
      </c>
      <c r="Z132" s="9">
        <v>2.3668</v>
      </c>
      <c r="AA132" s="1">
        <v>2010</v>
      </c>
      <c r="AB132" s="1">
        <v>5</v>
      </c>
      <c r="AC132" s="1">
        <v>1</v>
      </c>
      <c r="AD132" s="3">
        <v>2.3668</v>
      </c>
      <c r="AE132" s="1">
        <v>0.68767826583000602</v>
      </c>
      <c r="AF132" s="1" t="s">
        <v>178</v>
      </c>
    </row>
    <row r="133" spans="1:32">
      <c r="A133" s="4">
        <v>40359</v>
      </c>
      <c r="B133" s="5">
        <v>2563.0700000000002</v>
      </c>
      <c r="C133" s="1">
        <v>2010</v>
      </c>
      <c r="D133" s="1">
        <v>6</v>
      </c>
      <c r="E133" s="1">
        <v>1</v>
      </c>
      <c r="F133" s="3">
        <v>2563.0700000000002</v>
      </c>
      <c r="G133" s="3">
        <v>-7.5793000594245596E-2</v>
      </c>
      <c r="H133" s="3" t="s">
        <v>178</v>
      </c>
      <c r="I133" s="4">
        <v>40359</v>
      </c>
      <c r="J133" s="5">
        <v>258.52</v>
      </c>
      <c r="K133" s="1">
        <v>2010</v>
      </c>
      <c r="L133" s="1">
        <v>6</v>
      </c>
      <c r="M133" s="1">
        <v>1</v>
      </c>
      <c r="N133" s="3">
        <v>258.52</v>
      </c>
      <c r="O133" s="3">
        <v>1.45996860282573E-2</v>
      </c>
      <c r="P133" s="3" t="s">
        <v>178</v>
      </c>
      <c r="Q133" s="4">
        <v>40359</v>
      </c>
      <c r="R133" s="5">
        <v>135.3629</v>
      </c>
      <c r="S133" s="1">
        <v>2010</v>
      </c>
      <c r="T133" s="1">
        <v>6</v>
      </c>
      <c r="U133" s="1">
        <v>1</v>
      </c>
      <c r="V133" s="1">
        <v>135.3629</v>
      </c>
      <c r="W133" s="1">
        <v>4.0278356702163498E-4</v>
      </c>
      <c r="X133" s="3" t="s">
        <v>178</v>
      </c>
      <c r="Y133" s="4">
        <v>40359</v>
      </c>
      <c r="Z133" s="9">
        <v>2.2766999999999999</v>
      </c>
      <c r="AA133" s="1">
        <v>2010</v>
      </c>
      <c r="AB133" s="1">
        <v>6</v>
      </c>
      <c r="AC133" s="1">
        <v>1</v>
      </c>
      <c r="AD133" s="3">
        <v>2.2766999999999999</v>
      </c>
      <c r="AE133" s="1">
        <v>-3.8068277843501801E-2</v>
      </c>
      <c r="AF133" s="1" t="s">
        <v>178</v>
      </c>
    </row>
    <row r="134" spans="1:32">
      <c r="A134" s="4">
        <v>40574</v>
      </c>
      <c r="B134" s="5">
        <v>3076.5079999999998</v>
      </c>
      <c r="C134" s="1">
        <v>2011</v>
      </c>
      <c r="D134" s="1">
        <v>1</v>
      </c>
      <c r="E134" s="1">
        <v>1</v>
      </c>
      <c r="F134" s="3">
        <v>3076.5079999999998</v>
      </c>
      <c r="G134" s="3">
        <v>-1.65436963220141E-2</v>
      </c>
      <c r="H134" s="3" t="s">
        <v>178</v>
      </c>
      <c r="I134" s="4">
        <v>40574</v>
      </c>
      <c r="J134" s="5">
        <v>341.42</v>
      </c>
      <c r="K134" s="1">
        <v>2011</v>
      </c>
      <c r="L134" s="1">
        <v>1</v>
      </c>
      <c r="M134" s="1">
        <v>1</v>
      </c>
      <c r="N134" s="3">
        <v>341.42</v>
      </c>
      <c r="O134" s="3">
        <v>2.5901442307692299E-2</v>
      </c>
      <c r="P134" s="3" t="s">
        <v>178</v>
      </c>
      <c r="Q134" s="4">
        <v>40574</v>
      </c>
      <c r="R134" s="5">
        <v>134.26230000000001</v>
      </c>
      <c r="S134" s="1">
        <v>2011</v>
      </c>
      <c r="T134" s="1">
        <v>1</v>
      </c>
      <c r="U134" s="1">
        <v>1</v>
      </c>
      <c r="V134" s="1">
        <v>134.26230000000001</v>
      </c>
      <c r="W134" s="1">
        <v>-4.74219436296644E-4</v>
      </c>
      <c r="X134" s="3" t="s">
        <v>178</v>
      </c>
      <c r="Y134" s="4">
        <v>40574</v>
      </c>
      <c r="Z134" s="9">
        <v>4.8898000000000001</v>
      </c>
      <c r="AA134" s="1">
        <v>2011</v>
      </c>
      <c r="AB134" s="1">
        <v>1</v>
      </c>
      <c r="AC134" s="1">
        <v>1</v>
      </c>
      <c r="AD134" s="3">
        <v>4.8898000000000001</v>
      </c>
      <c r="AE134" s="1">
        <v>7.00015317621831E-2</v>
      </c>
      <c r="AF134" s="1" t="s">
        <v>178</v>
      </c>
    </row>
    <row r="135" spans="1:32">
      <c r="A135" s="4">
        <v>40602</v>
      </c>
      <c r="B135" s="5">
        <v>3239.5590000000002</v>
      </c>
      <c r="C135" s="1">
        <v>2011</v>
      </c>
      <c r="D135" s="1">
        <v>2</v>
      </c>
      <c r="E135" s="1">
        <v>1</v>
      </c>
      <c r="F135" s="3">
        <v>3239.5590000000002</v>
      </c>
      <c r="G135" s="3">
        <v>5.2998724527938898E-2</v>
      </c>
      <c r="H135" s="3" t="s">
        <v>178</v>
      </c>
      <c r="I135" s="4">
        <v>40602</v>
      </c>
      <c r="J135" s="5">
        <v>352.58</v>
      </c>
      <c r="K135" s="1">
        <v>2011</v>
      </c>
      <c r="L135" s="1">
        <v>2</v>
      </c>
      <c r="M135" s="1">
        <v>1</v>
      </c>
      <c r="N135" s="3">
        <v>352.58</v>
      </c>
      <c r="O135" s="3">
        <v>3.2687013063089403E-2</v>
      </c>
      <c r="P135" s="3" t="s">
        <v>178</v>
      </c>
      <c r="Q135" s="4">
        <v>40602</v>
      </c>
      <c r="R135" s="5">
        <v>134.61359999999999</v>
      </c>
      <c r="S135" s="1">
        <v>2011</v>
      </c>
      <c r="T135" s="1">
        <v>2</v>
      </c>
      <c r="U135" s="1">
        <v>1</v>
      </c>
      <c r="V135" s="1">
        <v>134.61359999999999</v>
      </c>
      <c r="W135" s="1">
        <v>2.6165200506767798E-3</v>
      </c>
      <c r="X135" s="3" t="s">
        <v>178</v>
      </c>
      <c r="Y135" s="4">
        <v>40602</v>
      </c>
      <c r="Z135" s="9">
        <v>2.4011</v>
      </c>
      <c r="AA135" s="1">
        <v>2011</v>
      </c>
      <c r="AB135" s="1">
        <v>2</v>
      </c>
      <c r="AC135" s="1">
        <v>1</v>
      </c>
      <c r="AD135" s="3">
        <v>2.4011</v>
      </c>
      <c r="AE135" s="1">
        <v>-0.50895742157143398</v>
      </c>
      <c r="AF135" s="1" t="s">
        <v>178</v>
      </c>
    </row>
    <row r="136" spans="1:32">
      <c r="A136" s="4">
        <v>40633</v>
      </c>
      <c r="B136" s="5">
        <v>3223.288</v>
      </c>
      <c r="C136" s="1">
        <v>2011</v>
      </c>
      <c r="D136" s="1">
        <v>3</v>
      </c>
      <c r="E136" s="1">
        <v>1</v>
      </c>
      <c r="F136" s="3">
        <v>3223.288</v>
      </c>
      <c r="G136" s="3">
        <v>-5.0225972115341003E-3</v>
      </c>
      <c r="H136" s="3" t="s">
        <v>178</v>
      </c>
      <c r="I136" s="4">
        <v>40633</v>
      </c>
      <c r="J136" s="5">
        <v>359.43</v>
      </c>
      <c r="K136" s="1">
        <v>2011</v>
      </c>
      <c r="L136" s="1">
        <v>3</v>
      </c>
      <c r="M136" s="1">
        <v>1</v>
      </c>
      <c r="N136" s="3">
        <v>359.43</v>
      </c>
      <c r="O136" s="3">
        <v>1.9428214873220301E-2</v>
      </c>
      <c r="P136" s="3" t="s">
        <v>178</v>
      </c>
      <c r="Q136" s="4">
        <v>40633</v>
      </c>
      <c r="R136" s="5">
        <v>135.21969999999999</v>
      </c>
      <c r="S136" s="1">
        <v>2011</v>
      </c>
      <c r="T136" s="1">
        <v>3</v>
      </c>
      <c r="U136" s="1">
        <v>1</v>
      </c>
      <c r="V136" s="1">
        <v>135.21969999999999</v>
      </c>
      <c r="W136" s="1">
        <v>4.5025168333660001E-3</v>
      </c>
      <c r="X136" s="3" t="s">
        <v>178</v>
      </c>
      <c r="Y136" s="4">
        <v>40633</v>
      </c>
      <c r="Z136" s="9">
        <v>1.8042</v>
      </c>
      <c r="AA136" s="1">
        <v>2011</v>
      </c>
      <c r="AB136" s="1">
        <v>3</v>
      </c>
      <c r="AC136" s="1">
        <v>1</v>
      </c>
      <c r="AD136" s="3">
        <v>1.8042</v>
      </c>
      <c r="AE136" s="1">
        <v>-0.24859439423597501</v>
      </c>
      <c r="AF136" s="1" t="s">
        <v>178</v>
      </c>
    </row>
    <row r="137" spans="1:32">
      <c r="A137" s="4">
        <v>40662</v>
      </c>
      <c r="B137" s="5">
        <v>3192.723</v>
      </c>
      <c r="C137" s="1">
        <v>2011</v>
      </c>
      <c r="D137" s="1">
        <v>4</v>
      </c>
      <c r="E137" s="1">
        <v>1</v>
      </c>
      <c r="F137" s="3">
        <v>3192.723</v>
      </c>
      <c r="G137" s="3">
        <v>-9.4825532189491205E-3</v>
      </c>
      <c r="H137" s="3" t="s">
        <v>178</v>
      </c>
      <c r="I137" s="4">
        <v>40662</v>
      </c>
      <c r="J137" s="5">
        <v>370.56</v>
      </c>
      <c r="K137" s="1">
        <v>2011</v>
      </c>
      <c r="L137" s="1">
        <v>4</v>
      </c>
      <c r="M137" s="1">
        <v>1</v>
      </c>
      <c r="N137" s="3">
        <v>370.56</v>
      </c>
      <c r="O137" s="3">
        <v>3.0965695684834298E-2</v>
      </c>
      <c r="P137" s="3" t="s">
        <v>178</v>
      </c>
      <c r="Q137" s="4">
        <v>40662</v>
      </c>
      <c r="R137" s="5">
        <v>135.79409999999999</v>
      </c>
      <c r="S137" s="1">
        <v>2011</v>
      </c>
      <c r="T137" s="1">
        <v>4</v>
      </c>
      <c r="U137" s="1">
        <v>1</v>
      </c>
      <c r="V137" s="1">
        <v>135.79409999999999</v>
      </c>
      <c r="W137" s="1">
        <v>4.2479017480440903E-3</v>
      </c>
      <c r="X137" s="3" t="s">
        <v>178</v>
      </c>
      <c r="Y137" s="4">
        <v>40662</v>
      </c>
      <c r="Z137" s="9">
        <v>2.5041000000000002</v>
      </c>
      <c r="AA137" s="1">
        <v>2011</v>
      </c>
      <c r="AB137" s="1">
        <v>4</v>
      </c>
      <c r="AC137" s="1">
        <v>1</v>
      </c>
      <c r="AD137" s="3">
        <v>2.5041000000000002</v>
      </c>
      <c r="AE137" s="1">
        <v>0.38792816760891302</v>
      </c>
      <c r="AF137" s="1" t="s">
        <v>178</v>
      </c>
    </row>
    <row r="138" spans="1:32">
      <c r="A138" s="4">
        <v>40694</v>
      </c>
      <c r="B138" s="5">
        <v>3001.556</v>
      </c>
      <c r="C138" s="1">
        <v>2011</v>
      </c>
      <c r="D138" s="1">
        <v>5</v>
      </c>
      <c r="E138" s="1">
        <v>1</v>
      </c>
      <c r="F138" s="3">
        <v>3001.556</v>
      </c>
      <c r="G138" s="3">
        <v>-5.9875848922690697E-2</v>
      </c>
      <c r="H138" s="3" t="s">
        <v>178</v>
      </c>
      <c r="I138" s="4">
        <v>40694</v>
      </c>
      <c r="J138" s="5">
        <v>350.06</v>
      </c>
      <c r="K138" s="1">
        <v>2011</v>
      </c>
      <c r="L138" s="1">
        <v>5</v>
      </c>
      <c r="M138" s="1">
        <v>1</v>
      </c>
      <c r="N138" s="3">
        <v>350.06</v>
      </c>
      <c r="O138" s="3">
        <v>-5.5321675302245299E-2</v>
      </c>
      <c r="P138" s="3" t="s">
        <v>178</v>
      </c>
      <c r="Q138" s="4">
        <v>40694</v>
      </c>
      <c r="R138" s="5">
        <v>136.2937</v>
      </c>
      <c r="S138" s="1">
        <v>2011</v>
      </c>
      <c r="T138" s="1">
        <v>5</v>
      </c>
      <c r="U138" s="1">
        <v>1</v>
      </c>
      <c r="V138" s="1">
        <v>136.2937</v>
      </c>
      <c r="W138" s="1">
        <v>3.6790994601386602E-3</v>
      </c>
      <c r="X138" s="3" t="s">
        <v>178</v>
      </c>
      <c r="Y138" s="4">
        <v>40694</v>
      </c>
      <c r="Z138" s="9">
        <v>3.8820000000000001</v>
      </c>
      <c r="AA138" s="1">
        <v>2011</v>
      </c>
      <c r="AB138" s="1">
        <v>5</v>
      </c>
      <c r="AC138" s="1">
        <v>1</v>
      </c>
      <c r="AD138" s="3">
        <v>3.8820000000000001</v>
      </c>
      <c r="AE138" s="1">
        <v>0.55025757757278104</v>
      </c>
      <c r="AF138" s="1" t="s">
        <v>178</v>
      </c>
    </row>
    <row r="139" spans="1:32">
      <c r="A139" s="4">
        <v>40724</v>
      </c>
      <c r="B139" s="5">
        <v>3044.0889999999999</v>
      </c>
      <c r="C139" s="1">
        <v>2011</v>
      </c>
      <c r="D139" s="1">
        <v>6</v>
      </c>
      <c r="E139" s="1">
        <v>1</v>
      </c>
      <c r="F139" s="3">
        <v>3044.0889999999999</v>
      </c>
      <c r="G139" s="3">
        <v>1.41703169955849E-2</v>
      </c>
      <c r="H139" s="3" t="s">
        <v>178</v>
      </c>
      <c r="I139" s="4">
        <v>40724</v>
      </c>
      <c r="J139" s="5">
        <v>338.05</v>
      </c>
      <c r="K139" s="1">
        <v>2011</v>
      </c>
      <c r="L139" s="1">
        <v>6</v>
      </c>
      <c r="M139" s="1">
        <v>1</v>
      </c>
      <c r="N139" s="3">
        <v>338.05</v>
      </c>
      <c r="O139" s="3">
        <v>-3.4308404273553098E-2</v>
      </c>
      <c r="P139" s="3" t="s">
        <v>178</v>
      </c>
      <c r="Q139" s="4">
        <v>40724</v>
      </c>
      <c r="R139" s="5">
        <v>135.8862</v>
      </c>
      <c r="S139" s="1">
        <v>2011</v>
      </c>
      <c r="T139" s="1">
        <v>6</v>
      </c>
      <c r="U139" s="1">
        <v>1</v>
      </c>
      <c r="V139" s="1">
        <v>135.8862</v>
      </c>
      <c r="W139" s="1">
        <v>-2.9898667363201601E-3</v>
      </c>
      <c r="X139" s="3" t="s">
        <v>178</v>
      </c>
      <c r="Y139" s="4">
        <v>40724</v>
      </c>
      <c r="Z139" s="9">
        <v>5.0190999999999999</v>
      </c>
      <c r="AA139" s="1">
        <v>2011</v>
      </c>
      <c r="AB139" s="1">
        <v>6</v>
      </c>
      <c r="AC139" s="1">
        <v>1</v>
      </c>
      <c r="AD139" s="3">
        <v>5.0190999999999999</v>
      </c>
      <c r="AE139" s="1">
        <v>0.29291602266872702</v>
      </c>
      <c r="AF139" s="1" t="s">
        <v>178</v>
      </c>
    </row>
    <row r="140" spans="1:32">
      <c r="A140" s="4">
        <v>40753</v>
      </c>
      <c r="B140" s="5">
        <v>2972.0790000000002</v>
      </c>
      <c r="C140" s="1">
        <v>2011</v>
      </c>
      <c r="D140" s="1">
        <v>7</v>
      </c>
      <c r="E140" s="1">
        <v>1</v>
      </c>
      <c r="F140" s="3">
        <v>2972.0790000000002</v>
      </c>
      <c r="G140" s="3">
        <v>-2.36556815520176E-2</v>
      </c>
      <c r="H140" s="3" t="s">
        <v>178</v>
      </c>
      <c r="I140" s="4">
        <v>40753</v>
      </c>
      <c r="J140" s="5">
        <v>342.08</v>
      </c>
      <c r="K140" s="1">
        <v>2011</v>
      </c>
      <c r="L140" s="1">
        <v>7</v>
      </c>
      <c r="M140" s="1">
        <v>1</v>
      </c>
      <c r="N140" s="3">
        <v>342.08</v>
      </c>
      <c r="O140" s="3">
        <v>1.1921313415175201E-2</v>
      </c>
      <c r="P140" s="3" t="s">
        <v>178</v>
      </c>
      <c r="Q140" s="4">
        <v>40753</v>
      </c>
      <c r="R140" s="5">
        <v>135.107</v>
      </c>
      <c r="S140" s="1">
        <v>2011</v>
      </c>
      <c r="T140" s="1">
        <v>7</v>
      </c>
      <c r="U140" s="1">
        <v>1</v>
      </c>
      <c r="V140" s="1">
        <v>135.107</v>
      </c>
      <c r="W140" s="1">
        <v>-5.7342099492075204E-3</v>
      </c>
      <c r="X140" s="3" t="s">
        <v>178</v>
      </c>
      <c r="Y140" s="4">
        <v>40753</v>
      </c>
      <c r="Z140" s="9">
        <v>3.5030000000000001</v>
      </c>
      <c r="AA140" s="1">
        <v>2011</v>
      </c>
      <c r="AB140" s="1">
        <v>7</v>
      </c>
      <c r="AC140" s="1">
        <v>1</v>
      </c>
      <c r="AD140" s="3">
        <v>3.5030000000000001</v>
      </c>
      <c r="AE140" s="1">
        <v>-0.30206610746946699</v>
      </c>
      <c r="AF140" s="1" t="s">
        <v>178</v>
      </c>
    </row>
    <row r="141" spans="1:32">
      <c r="A141" s="4">
        <v>40786</v>
      </c>
      <c r="B141" s="5">
        <v>2846.7759999999998</v>
      </c>
      <c r="C141" s="1">
        <v>2011</v>
      </c>
      <c r="D141" s="1">
        <v>8</v>
      </c>
      <c r="E141" s="1">
        <v>1</v>
      </c>
      <c r="F141" s="3">
        <v>2846.7759999999998</v>
      </c>
      <c r="G141" s="3">
        <v>-4.2160050254384303E-2</v>
      </c>
      <c r="H141" s="3" t="s">
        <v>178</v>
      </c>
      <c r="I141" s="4">
        <v>40786</v>
      </c>
      <c r="J141" s="5">
        <v>342.57</v>
      </c>
      <c r="K141" s="1">
        <v>2011</v>
      </c>
      <c r="L141" s="1">
        <v>8</v>
      </c>
      <c r="M141" s="1">
        <v>1</v>
      </c>
      <c r="N141" s="3">
        <v>342.57</v>
      </c>
      <c r="O141" s="3">
        <v>1.43241347053324E-3</v>
      </c>
      <c r="P141" s="3" t="s">
        <v>178</v>
      </c>
      <c r="Q141" s="4">
        <v>40786</v>
      </c>
      <c r="R141" s="5">
        <v>135.18620000000001</v>
      </c>
      <c r="S141" s="1">
        <v>2011</v>
      </c>
      <c r="T141" s="1">
        <v>8</v>
      </c>
      <c r="U141" s="1">
        <v>1</v>
      </c>
      <c r="V141" s="1">
        <v>135.18620000000001</v>
      </c>
      <c r="W141" s="1">
        <v>5.8620204726634695E-4</v>
      </c>
      <c r="X141" s="3" t="s">
        <v>178</v>
      </c>
      <c r="Y141" s="4">
        <v>40786</v>
      </c>
      <c r="Z141" s="9">
        <v>3.3612000000000002</v>
      </c>
      <c r="AA141" s="1">
        <v>2011</v>
      </c>
      <c r="AB141" s="1">
        <v>8</v>
      </c>
      <c r="AC141" s="1">
        <v>1</v>
      </c>
      <c r="AD141" s="3">
        <v>3.3612000000000002</v>
      </c>
      <c r="AE141" s="1">
        <v>-4.0479588923779598E-2</v>
      </c>
      <c r="AF141" s="1" t="s">
        <v>178</v>
      </c>
    </row>
    <row r="142" spans="1:32">
      <c r="A142" s="4">
        <v>40816</v>
      </c>
      <c r="B142" s="5">
        <v>2581.3510000000001</v>
      </c>
      <c r="C142" s="1">
        <v>2011</v>
      </c>
      <c r="D142" s="1">
        <v>9</v>
      </c>
      <c r="E142" s="1">
        <v>1</v>
      </c>
      <c r="F142" s="3">
        <v>2581.3510000000001</v>
      </c>
      <c r="G142" s="3">
        <v>-9.3237051316998498E-2</v>
      </c>
      <c r="H142" s="3" t="s">
        <v>178</v>
      </c>
      <c r="I142" s="4">
        <v>40816</v>
      </c>
      <c r="J142" s="5">
        <v>298.14999999999998</v>
      </c>
      <c r="K142" s="1">
        <v>2011</v>
      </c>
      <c r="L142" s="1">
        <v>9</v>
      </c>
      <c r="M142" s="1">
        <v>1</v>
      </c>
      <c r="N142" s="3">
        <v>298.14999999999998</v>
      </c>
      <c r="O142" s="3">
        <v>-0.129666929386695</v>
      </c>
      <c r="P142" s="3" t="s">
        <v>178</v>
      </c>
      <c r="Q142" s="4">
        <v>40816</v>
      </c>
      <c r="R142" s="5">
        <v>136.31290000000001</v>
      </c>
      <c r="S142" s="1">
        <v>2011</v>
      </c>
      <c r="T142" s="1">
        <v>9</v>
      </c>
      <c r="U142" s="1">
        <v>1</v>
      </c>
      <c r="V142" s="1">
        <v>136.31290000000001</v>
      </c>
      <c r="W142" s="1">
        <v>8.3344305853704E-3</v>
      </c>
      <c r="X142" s="3" t="s">
        <v>178</v>
      </c>
      <c r="Y142" s="4">
        <v>40816</v>
      </c>
      <c r="Z142" s="9">
        <v>4.8654000000000002</v>
      </c>
      <c r="AA142" s="1">
        <v>2011</v>
      </c>
      <c r="AB142" s="1">
        <v>9</v>
      </c>
      <c r="AC142" s="1">
        <v>1</v>
      </c>
      <c r="AD142" s="3">
        <v>4.8654000000000002</v>
      </c>
      <c r="AE142" s="1">
        <v>0.44751874330596197</v>
      </c>
      <c r="AF142" s="1" t="s">
        <v>178</v>
      </c>
    </row>
    <row r="143" spans="1:32">
      <c r="A143" s="4">
        <v>40847</v>
      </c>
      <c r="B143" s="5">
        <v>2695.3069999999998</v>
      </c>
      <c r="C143" s="1">
        <v>2011</v>
      </c>
      <c r="D143" s="1">
        <v>10</v>
      </c>
      <c r="E143" s="1">
        <v>1</v>
      </c>
      <c r="F143" s="3">
        <v>2695.3069999999998</v>
      </c>
      <c r="G143" s="3">
        <v>4.4145875551213201E-2</v>
      </c>
      <c r="H143" s="3" t="s">
        <v>178</v>
      </c>
      <c r="I143" s="4">
        <v>40847</v>
      </c>
      <c r="J143" s="5">
        <v>319.83999999999997</v>
      </c>
      <c r="K143" s="1">
        <v>2011</v>
      </c>
      <c r="L143" s="1">
        <v>10</v>
      </c>
      <c r="M143" s="1">
        <v>1</v>
      </c>
      <c r="N143" s="3">
        <v>319.83999999999997</v>
      </c>
      <c r="O143" s="3">
        <v>7.27486164682207E-2</v>
      </c>
      <c r="P143" s="3" t="s">
        <v>178</v>
      </c>
      <c r="Q143" s="4">
        <v>40847</v>
      </c>
      <c r="R143" s="5">
        <v>138.23429999999999</v>
      </c>
      <c r="S143" s="1">
        <v>2011</v>
      </c>
      <c r="T143" s="1">
        <v>10</v>
      </c>
      <c r="U143" s="1">
        <v>1</v>
      </c>
      <c r="V143" s="1">
        <v>138.23429999999999</v>
      </c>
      <c r="W143" s="1">
        <v>1.4095511136509999E-2</v>
      </c>
      <c r="X143" s="3" t="s">
        <v>178</v>
      </c>
      <c r="Y143" s="4">
        <v>40847</v>
      </c>
      <c r="Z143" s="9">
        <v>4.7119999999999997</v>
      </c>
      <c r="AA143" s="1">
        <v>2011</v>
      </c>
      <c r="AB143" s="1">
        <v>10</v>
      </c>
      <c r="AC143" s="1">
        <v>1</v>
      </c>
      <c r="AD143" s="3">
        <v>4.7119999999999997</v>
      </c>
      <c r="AE143" s="1">
        <v>-3.1528754059275799E-2</v>
      </c>
      <c r="AF143" s="1" t="s">
        <v>178</v>
      </c>
    </row>
    <row r="144" spans="1:32">
      <c r="A144" s="4">
        <v>40877</v>
      </c>
      <c r="B144" s="5">
        <v>2521.52</v>
      </c>
      <c r="C144" s="1">
        <v>2011</v>
      </c>
      <c r="D144" s="1">
        <v>11</v>
      </c>
      <c r="E144" s="1">
        <v>1</v>
      </c>
      <c r="F144" s="3">
        <v>2521.52</v>
      </c>
      <c r="G144" s="3">
        <v>-6.4477627223911704E-2</v>
      </c>
      <c r="H144" s="3" t="s">
        <v>178</v>
      </c>
      <c r="I144" s="4">
        <v>40877</v>
      </c>
      <c r="J144" s="5">
        <v>313.82</v>
      </c>
      <c r="K144" s="1">
        <v>2011</v>
      </c>
      <c r="L144" s="1">
        <v>11</v>
      </c>
      <c r="M144" s="1">
        <v>1</v>
      </c>
      <c r="N144" s="3">
        <v>313.82</v>
      </c>
      <c r="O144" s="3">
        <v>-1.8821910955477701E-2</v>
      </c>
      <c r="P144" s="3" t="s">
        <v>178</v>
      </c>
      <c r="Q144" s="4">
        <v>40877</v>
      </c>
      <c r="R144" s="5">
        <v>139.89940000000001</v>
      </c>
      <c r="S144" s="1">
        <v>2011</v>
      </c>
      <c r="T144" s="1">
        <v>11</v>
      </c>
      <c r="U144" s="1">
        <v>1</v>
      </c>
      <c r="V144" s="1">
        <v>139.89940000000001</v>
      </c>
      <c r="W144" s="1">
        <v>1.2045490880338801E-2</v>
      </c>
      <c r="X144" s="3" t="s">
        <v>178</v>
      </c>
      <c r="Y144" s="4">
        <v>40877</v>
      </c>
      <c r="Z144" s="9">
        <v>3.4319999999999999</v>
      </c>
      <c r="AA144" s="1">
        <v>2011</v>
      </c>
      <c r="AB144" s="1">
        <v>11</v>
      </c>
      <c r="AC144" s="1">
        <v>1</v>
      </c>
      <c r="AD144" s="3">
        <v>3.4319999999999999</v>
      </c>
      <c r="AE144" s="1">
        <v>-0.27164685908319203</v>
      </c>
      <c r="AF144" s="1" t="s">
        <v>178</v>
      </c>
    </row>
    <row r="145" spans="1:32">
      <c r="A145" s="4">
        <v>41486</v>
      </c>
      <c r="B145" s="5">
        <v>2193.0210000000002</v>
      </c>
      <c r="C145" s="1">
        <v>2013</v>
      </c>
      <c r="D145" s="1">
        <v>7</v>
      </c>
      <c r="E145" s="1">
        <v>1</v>
      </c>
      <c r="F145" s="3">
        <v>2193.0210000000002</v>
      </c>
      <c r="G145" s="3">
        <v>-3.4617217998953701E-3</v>
      </c>
      <c r="H145" s="3" t="s">
        <v>178</v>
      </c>
      <c r="I145" s="4">
        <v>41486</v>
      </c>
      <c r="J145" s="5">
        <v>283.94</v>
      </c>
      <c r="K145" s="1">
        <v>2013</v>
      </c>
      <c r="L145" s="1">
        <v>7</v>
      </c>
      <c r="M145" s="1">
        <v>1</v>
      </c>
      <c r="N145" s="3">
        <v>283.94</v>
      </c>
      <c r="O145" s="3">
        <v>3.0186488643784901E-2</v>
      </c>
      <c r="P145" s="3" t="s">
        <v>178</v>
      </c>
      <c r="Q145" s="4">
        <v>41486</v>
      </c>
      <c r="R145" s="5">
        <v>149.52809999999999</v>
      </c>
      <c r="S145" s="1">
        <v>2013</v>
      </c>
      <c r="T145" s="1">
        <v>7</v>
      </c>
      <c r="U145" s="1">
        <v>1</v>
      </c>
      <c r="V145" s="1">
        <v>149.52809999999999</v>
      </c>
      <c r="W145" s="1">
        <v>-3.20182069804091E-3</v>
      </c>
      <c r="X145" s="3" t="s">
        <v>178</v>
      </c>
      <c r="Y145" s="4">
        <v>41486</v>
      </c>
      <c r="Z145" s="9">
        <v>3.7292000000000001</v>
      </c>
      <c r="AA145" s="1">
        <v>2013</v>
      </c>
      <c r="AB145" s="1">
        <v>7</v>
      </c>
      <c r="AC145" s="1">
        <v>1</v>
      </c>
      <c r="AD145" s="3">
        <v>3.7292000000000001</v>
      </c>
      <c r="AE145" s="1">
        <v>-0.24785704201206099</v>
      </c>
      <c r="AF145" s="1" t="s">
        <v>178</v>
      </c>
    </row>
    <row r="146" spans="1:32">
      <c r="A146" s="4">
        <v>41516</v>
      </c>
      <c r="B146" s="5">
        <v>2313.91</v>
      </c>
      <c r="C146" s="1">
        <v>2013</v>
      </c>
      <c r="D146" s="1">
        <v>8</v>
      </c>
      <c r="E146" s="1">
        <v>1</v>
      </c>
      <c r="F146" s="3">
        <v>2313.91</v>
      </c>
      <c r="G146" s="3">
        <v>5.5124415133279502E-2</v>
      </c>
      <c r="H146" s="3" t="s">
        <v>178</v>
      </c>
      <c r="I146" s="4">
        <v>41516</v>
      </c>
      <c r="J146" s="5">
        <v>291.16000000000003</v>
      </c>
      <c r="K146" s="1">
        <v>2013</v>
      </c>
      <c r="L146" s="1">
        <v>8</v>
      </c>
      <c r="M146" s="1">
        <v>1</v>
      </c>
      <c r="N146" s="3">
        <v>291.16000000000003</v>
      </c>
      <c r="O146" s="3">
        <v>2.54279073043602E-2</v>
      </c>
      <c r="P146" s="3" t="s">
        <v>178</v>
      </c>
      <c r="Q146" s="4">
        <v>41516</v>
      </c>
      <c r="R146" s="5">
        <v>148.47470000000001</v>
      </c>
      <c r="S146" s="1">
        <v>2013</v>
      </c>
      <c r="T146" s="1">
        <v>8</v>
      </c>
      <c r="U146" s="1">
        <v>1</v>
      </c>
      <c r="V146" s="1">
        <v>148.47470000000001</v>
      </c>
      <c r="W146" s="1">
        <v>-7.0448297009055999E-3</v>
      </c>
      <c r="X146" s="3" t="s">
        <v>178</v>
      </c>
      <c r="Y146" s="4">
        <v>41516</v>
      </c>
      <c r="Z146" s="9">
        <v>3.0407999999999999</v>
      </c>
      <c r="AA146" s="1">
        <v>2013</v>
      </c>
      <c r="AB146" s="1">
        <v>8</v>
      </c>
      <c r="AC146" s="1">
        <v>1</v>
      </c>
      <c r="AD146" s="3">
        <v>3.0407999999999999</v>
      </c>
      <c r="AE146" s="1">
        <v>-0.18459723265043401</v>
      </c>
      <c r="AF146" s="1" t="s">
        <v>178</v>
      </c>
    </row>
    <row r="147" spans="1:32">
      <c r="A147" s="4">
        <v>41547</v>
      </c>
      <c r="B147" s="5">
        <v>2409.0369999999998</v>
      </c>
      <c r="C147" s="1">
        <v>2013</v>
      </c>
      <c r="D147" s="1">
        <v>9</v>
      </c>
      <c r="E147" s="1">
        <v>1</v>
      </c>
      <c r="F147" s="3">
        <v>2409.0369999999998</v>
      </c>
      <c r="G147" s="3">
        <v>4.1110933441663701E-2</v>
      </c>
      <c r="H147" s="3" t="s">
        <v>178</v>
      </c>
      <c r="I147" s="4">
        <v>41547</v>
      </c>
      <c r="J147" s="5">
        <v>285.54000000000002</v>
      </c>
      <c r="K147" s="1">
        <v>2013</v>
      </c>
      <c r="L147" s="1">
        <v>9</v>
      </c>
      <c r="M147" s="1">
        <v>1</v>
      </c>
      <c r="N147" s="3">
        <v>285.54000000000002</v>
      </c>
      <c r="O147" s="3">
        <v>-1.9302101937079302E-2</v>
      </c>
      <c r="P147" s="3" t="s">
        <v>178</v>
      </c>
      <c r="Q147" s="4">
        <v>41547</v>
      </c>
      <c r="R147" s="5">
        <v>148.47669999999999</v>
      </c>
      <c r="S147" s="1">
        <v>2013</v>
      </c>
      <c r="T147" s="1">
        <v>9</v>
      </c>
      <c r="U147" s="1">
        <v>1</v>
      </c>
      <c r="V147" s="1">
        <v>148.47669999999999</v>
      </c>
      <c r="W147" s="1">
        <v>1.3470308409319099E-5</v>
      </c>
      <c r="X147" s="3" t="s">
        <v>178</v>
      </c>
      <c r="Y147" s="4">
        <v>41547</v>
      </c>
      <c r="Z147" s="9">
        <v>3.1442999999999999</v>
      </c>
      <c r="AA147" s="1">
        <v>2013</v>
      </c>
      <c r="AB147" s="1">
        <v>9</v>
      </c>
      <c r="AC147" s="1">
        <v>1</v>
      </c>
      <c r="AD147" s="3">
        <v>3.1442999999999999</v>
      </c>
      <c r="AE147" s="1">
        <v>3.4037095501183903E-2</v>
      </c>
      <c r="AF147" s="1" t="s">
        <v>178</v>
      </c>
    </row>
    <row r="148" spans="1:32">
      <c r="A148" s="4">
        <v>41578</v>
      </c>
      <c r="B148" s="5">
        <v>2373.7179999999998</v>
      </c>
      <c r="C148" s="1">
        <v>2013</v>
      </c>
      <c r="D148" s="1">
        <v>10</v>
      </c>
      <c r="E148" s="1">
        <v>1</v>
      </c>
      <c r="F148" s="3">
        <v>2373.7179999999998</v>
      </c>
      <c r="G148" s="3">
        <v>-1.4661045056593099E-2</v>
      </c>
      <c r="H148" s="3" t="s">
        <v>178</v>
      </c>
      <c r="I148" s="4">
        <v>41578</v>
      </c>
      <c r="J148" s="5">
        <v>277.86</v>
      </c>
      <c r="K148" s="1">
        <v>2013</v>
      </c>
      <c r="L148" s="1">
        <v>10</v>
      </c>
      <c r="M148" s="1">
        <v>1</v>
      </c>
      <c r="N148" s="3">
        <v>277.86</v>
      </c>
      <c r="O148" s="3">
        <v>-2.6896406808153001E-2</v>
      </c>
      <c r="P148" s="3" t="s">
        <v>178</v>
      </c>
      <c r="Q148" s="4">
        <v>41578</v>
      </c>
      <c r="R148" s="5">
        <v>147.60640000000001</v>
      </c>
      <c r="S148" s="1">
        <v>2013</v>
      </c>
      <c r="T148" s="1">
        <v>10</v>
      </c>
      <c r="U148" s="1">
        <v>1</v>
      </c>
      <c r="V148" s="1">
        <v>147.60640000000001</v>
      </c>
      <c r="W148" s="1">
        <v>-5.8615257478108404E-3</v>
      </c>
      <c r="X148" s="3" t="s">
        <v>178</v>
      </c>
      <c r="Y148" s="4">
        <v>41578</v>
      </c>
      <c r="Z148" s="9">
        <v>4.6059999999999999</v>
      </c>
      <c r="AA148" s="1">
        <v>2013</v>
      </c>
      <c r="AB148" s="1">
        <v>10</v>
      </c>
      <c r="AC148" s="1">
        <v>1</v>
      </c>
      <c r="AD148" s="3">
        <v>4.6059999999999999</v>
      </c>
      <c r="AE148" s="1">
        <v>0.46487294469357199</v>
      </c>
      <c r="AF148" s="1" t="s">
        <v>178</v>
      </c>
    </row>
    <row r="149" spans="1:32">
      <c r="A149" s="4">
        <v>41607</v>
      </c>
      <c r="B149" s="5">
        <v>2438.944</v>
      </c>
      <c r="C149" s="1">
        <v>2013</v>
      </c>
      <c r="D149" s="1">
        <v>11</v>
      </c>
      <c r="E149" s="1">
        <v>1</v>
      </c>
      <c r="F149" s="3">
        <v>2438.944</v>
      </c>
      <c r="G149" s="3">
        <v>2.74784115046522E-2</v>
      </c>
      <c r="H149" s="3" t="s">
        <v>178</v>
      </c>
      <c r="I149" s="4">
        <v>41607</v>
      </c>
      <c r="J149" s="5">
        <v>274.97000000000003</v>
      </c>
      <c r="K149" s="1">
        <v>2013</v>
      </c>
      <c r="L149" s="1">
        <v>11</v>
      </c>
      <c r="M149" s="1">
        <v>1</v>
      </c>
      <c r="N149" s="3">
        <v>274.97000000000003</v>
      </c>
      <c r="O149" s="3">
        <v>-1.0400921327287101E-2</v>
      </c>
      <c r="P149" s="3" t="s">
        <v>178</v>
      </c>
      <c r="Q149" s="4">
        <v>41607</v>
      </c>
      <c r="R149" s="5">
        <v>146.2809</v>
      </c>
      <c r="S149" s="1">
        <v>2013</v>
      </c>
      <c r="T149" s="1">
        <v>11</v>
      </c>
      <c r="U149" s="1">
        <v>1</v>
      </c>
      <c r="V149" s="1">
        <v>146.2809</v>
      </c>
      <c r="W149" s="1">
        <v>-8.97996292843674E-3</v>
      </c>
      <c r="X149" s="3" t="s">
        <v>178</v>
      </c>
      <c r="Y149" s="4">
        <v>41607</v>
      </c>
      <c r="Z149" s="9">
        <v>3.7587000000000002</v>
      </c>
      <c r="AA149" s="1">
        <v>2013</v>
      </c>
      <c r="AB149" s="1">
        <v>11</v>
      </c>
      <c r="AC149" s="1">
        <v>1</v>
      </c>
      <c r="AD149" s="3">
        <v>3.7587000000000002</v>
      </c>
      <c r="AE149" s="1">
        <v>-0.18395570994355201</v>
      </c>
      <c r="AF149" s="1" t="s">
        <v>178</v>
      </c>
    </row>
    <row r="150" spans="1:32">
      <c r="A150" s="4">
        <v>41639</v>
      </c>
      <c r="B150" s="5">
        <v>2330.0259999999998</v>
      </c>
      <c r="C150" s="1">
        <v>2013</v>
      </c>
      <c r="D150" s="1">
        <v>12</v>
      </c>
      <c r="E150" s="1">
        <v>-11</v>
      </c>
      <c r="F150" s="3">
        <v>2330.0259999999998</v>
      </c>
      <c r="G150" s="3">
        <v>-4.4657851922799398E-2</v>
      </c>
      <c r="H150" s="3" t="s">
        <v>178</v>
      </c>
      <c r="I150" s="4">
        <v>41639</v>
      </c>
      <c r="J150" s="5">
        <v>280.17</v>
      </c>
      <c r="K150" s="1">
        <v>2013</v>
      </c>
      <c r="L150" s="1">
        <v>12</v>
      </c>
      <c r="M150" s="1">
        <v>-11</v>
      </c>
      <c r="N150" s="3">
        <v>280.17</v>
      </c>
      <c r="O150" s="3">
        <v>1.8911153944066599E-2</v>
      </c>
      <c r="P150" s="3" t="s">
        <v>178</v>
      </c>
      <c r="Q150" s="4">
        <v>41639</v>
      </c>
      <c r="R150" s="5">
        <v>145.89340000000001</v>
      </c>
      <c r="S150" s="1">
        <v>2013</v>
      </c>
      <c r="T150" s="1">
        <v>12</v>
      </c>
      <c r="U150" s="1">
        <v>-11</v>
      </c>
      <c r="V150" s="1">
        <v>145.89340000000001</v>
      </c>
      <c r="W150" s="1">
        <v>-2.64901296068037E-3</v>
      </c>
      <c r="X150" s="3" t="s">
        <v>178</v>
      </c>
      <c r="Y150" s="4">
        <v>41639</v>
      </c>
      <c r="Z150" s="9">
        <v>3.2019000000000002</v>
      </c>
      <c r="AA150" s="1">
        <v>2013</v>
      </c>
      <c r="AB150" s="1">
        <v>12</v>
      </c>
      <c r="AC150" s="1">
        <v>-11</v>
      </c>
      <c r="AD150" s="3">
        <v>3.2019000000000002</v>
      </c>
      <c r="AE150" s="1">
        <v>-0.148136323728949</v>
      </c>
      <c r="AF150" s="1" t="s">
        <v>178</v>
      </c>
    </row>
    <row r="151" spans="1:32">
      <c r="A151" s="4">
        <v>41669</v>
      </c>
      <c r="B151" s="5">
        <v>2202.4499999999998</v>
      </c>
      <c r="C151" s="1">
        <v>2014</v>
      </c>
      <c r="D151" s="1">
        <v>1</v>
      </c>
      <c r="E151" s="1">
        <v>1</v>
      </c>
      <c r="F151" s="3">
        <v>2202.4499999999998</v>
      </c>
      <c r="G151" s="3">
        <v>-5.4753037090573303E-2</v>
      </c>
      <c r="H151" s="3" t="s">
        <v>178</v>
      </c>
      <c r="I151" s="4">
        <v>41669</v>
      </c>
      <c r="J151" s="5">
        <v>283.56</v>
      </c>
      <c r="K151" s="1">
        <v>2014</v>
      </c>
      <c r="L151" s="1">
        <v>1</v>
      </c>
      <c r="M151" s="1">
        <v>1</v>
      </c>
      <c r="N151" s="3">
        <v>283.56</v>
      </c>
      <c r="O151" s="3">
        <v>1.2099796552093299E-2</v>
      </c>
      <c r="P151" s="3" t="s">
        <v>178</v>
      </c>
      <c r="Q151" s="4">
        <v>41669</v>
      </c>
      <c r="R151" s="5">
        <v>147.30600000000001</v>
      </c>
      <c r="S151" s="1">
        <v>2014</v>
      </c>
      <c r="T151" s="1">
        <v>1</v>
      </c>
      <c r="U151" s="1">
        <v>1</v>
      </c>
      <c r="V151" s="1">
        <v>147.30600000000001</v>
      </c>
      <c r="W151" s="1">
        <v>9.6824119528367801E-3</v>
      </c>
      <c r="X151" s="3" t="s">
        <v>178</v>
      </c>
      <c r="Y151" s="4">
        <v>41669</v>
      </c>
      <c r="Z151" s="9">
        <v>4.2718999999999996</v>
      </c>
      <c r="AA151" s="1">
        <v>2014</v>
      </c>
      <c r="AB151" s="1">
        <v>1</v>
      </c>
      <c r="AC151" s="1">
        <v>1</v>
      </c>
      <c r="AD151" s="3">
        <v>4.2718999999999996</v>
      </c>
      <c r="AE151" s="1">
        <v>0.33417658265404898</v>
      </c>
      <c r="AF151" s="1" t="s">
        <v>178</v>
      </c>
    </row>
    <row r="152" spans="1:32">
      <c r="A152" s="4">
        <v>41698</v>
      </c>
      <c r="B152" s="5">
        <v>2178.971</v>
      </c>
      <c r="C152" s="1">
        <v>2014</v>
      </c>
      <c r="D152" s="1">
        <v>2</v>
      </c>
      <c r="E152" s="1">
        <v>1</v>
      </c>
      <c r="F152" s="3">
        <v>2178.971</v>
      </c>
      <c r="G152" s="3">
        <v>-1.06604009171604E-2</v>
      </c>
      <c r="H152" s="3" t="s">
        <v>178</v>
      </c>
      <c r="I152" s="4">
        <v>41698</v>
      </c>
      <c r="J152" s="5">
        <v>302.43</v>
      </c>
      <c r="K152" s="1">
        <v>2014</v>
      </c>
      <c r="L152" s="1">
        <v>2</v>
      </c>
      <c r="M152" s="1">
        <v>1</v>
      </c>
      <c r="N152" s="3">
        <v>302.43</v>
      </c>
      <c r="O152" s="3">
        <v>6.6546762589928102E-2</v>
      </c>
      <c r="P152" s="3" t="s">
        <v>178</v>
      </c>
      <c r="Q152" s="4">
        <v>41698</v>
      </c>
      <c r="R152" s="5">
        <v>149.67930000000001</v>
      </c>
      <c r="S152" s="1">
        <v>2014</v>
      </c>
      <c r="T152" s="1">
        <v>2</v>
      </c>
      <c r="U152" s="1">
        <v>1</v>
      </c>
      <c r="V152" s="1">
        <v>149.67930000000001</v>
      </c>
      <c r="W152" s="1">
        <v>1.6111360026068201E-2</v>
      </c>
      <c r="X152" s="3" t="s">
        <v>178</v>
      </c>
      <c r="Y152" s="4">
        <v>41698</v>
      </c>
      <c r="Z152" s="9">
        <v>1.8311999999999999</v>
      </c>
      <c r="AA152" s="1">
        <v>2014</v>
      </c>
      <c r="AB152" s="1">
        <v>2</v>
      </c>
      <c r="AC152" s="1">
        <v>1</v>
      </c>
      <c r="AD152" s="3">
        <v>1.8311999999999999</v>
      </c>
      <c r="AE152" s="1">
        <v>-0.57133828039045897</v>
      </c>
      <c r="AF152" s="1" t="s">
        <v>178</v>
      </c>
    </row>
    <row r="153" spans="1:32">
      <c r="A153" s="4">
        <v>41729</v>
      </c>
      <c r="B153" s="5">
        <v>2146.3049999999998</v>
      </c>
      <c r="C153" s="1">
        <v>2014</v>
      </c>
      <c r="D153" s="1">
        <v>3</v>
      </c>
      <c r="E153" s="1">
        <v>1</v>
      </c>
      <c r="F153" s="3">
        <v>2146.3049999999998</v>
      </c>
      <c r="G153" s="3">
        <v>-1.4991479923321701E-2</v>
      </c>
      <c r="H153" s="3" t="s">
        <v>178</v>
      </c>
      <c r="I153" s="4">
        <v>41729</v>
      </c>
      <c r="J153" s="5">
        <v>304.67</v>
      </c>
      <c r="K153" s="1">
        <v>2014</v>
      </c>
      <c r="L153" s="1">
        <v>3</v>
      </c>
      <c r="M153" s="1">
        <v>1</v>
      </c>
      <c r="N153" s="3">
        <v>304.67</v>
      </c>
      <c r="O153" s="3">
        <v>7.4066726184571904E-3</v>
      </c>
      <c r="P153" s="3" t="s">
        <v>180</v>
      </c>
      <c r="Q153" s="4">
        <v>41729</v>
      </c>
      <c r="R153" s="5">
        <v>149.47749999999999</v>
      </c>
      <c r="S153" s="1">
        <v>2014</v>
      </c>
      <c r="T153" s="1">
        <v>3</v>
      </c>
      <c r="U153" s="1">
        <v>1</v>
      </c>
      <c r="V153" s="1">
        <v>149.47749999999999</v>
      </c>
      <c r="W153" s="1">
        <v>-1.3482158187539601E-3</v>
      </c>
      <c r="X153" s="3" t="s">
        <v>178</v>
      </c>
      <c r="Y153" s="4">
        <v>41729</v>
      </c>
      <c r="Z153" s="9">
        <v>2.8167</v>
      </c>
      <c r="AA153" s="1">
        <v>2014</v>
      </c>
      <c r="AB153" s="1">
        <v>3</v>
      </c>
      <c r="AC153" s="1">
        <v>1</v>
      </c>
      <c r="AD153" s="3">
        <v>2.8167</v>
      </c>
      <c r="AE153" s="1">
        <v>0.538171690694627</v>
      </c>
      <c r="AF153" s="1" t="s">
        <v>178</v>
      </c>
    </row>
    <row r="154" spans="1:32">
      <c r="A154" s="4">
        <v>42794</v>
      </c>
      <c r="B154" s="5">
        <v>3452.8103000000001</v>
      </c>
      <c r="C154" s="1">
        <v>2017</v>
      </c>
      <c r="D154" s="1">
        <v>2</v>
      </c>
      <c r="E154" s="1">
        <v>1</v>
      </c>
      <c r="F154" s="3">
        <v>3452.8103000000001</v>
      </c>
      <c r="G154" s="3">
        <v>1.9141220237330999E-2</v>
      </c>
      <c r="H154" s="3" t="s">
        <v>178</v>
      </c>
      <c r="I154" s="4">
        <v>42794</v>
      </c>
      <c r="J154" s="5">
        <v>190.62</v>
      </c>
      <c r="K154" s="1">
        <v>2017</v>
      </c>
      <c r="L154" s="1">
        <v>2</v>
      </c>
      <c r="M154" s="1">
        <v>1</v>
      </c>
      <c r="N154" s="3">
        <v>190.62</v>
      </c>
      <c r="O154" s="3">
        <v>-1.8737774117162501E-2</v>
      </c>
      <c r="P154" s="3" t="s">
        <v>178</v>
      </c>
      <c r="Q154" s="4">
        <v>42794</v>
      </c>
      <c r="R154" s="5">
        <v>176.6987</v>
      </c>
      <c r="S154" s="1">
        <v>2017</v>
      </c>
      <c r="T154" s="1">
        <v>2</v>
      </c>
      <c r="U154" s="1">
        <v>1</v>
      </c>
      <c r="V154" s="1">
        <v>176.6987</v>
      </c>
      <c r="W154" s="1">
        <v>2.4901765365402001E-5</v>
      </c>
      <c r="X154" s="3" t="s">
        <v>178</v>
      </c>
      <c r="Y154" s="4">
        <v>42794</v>
      </c>
      <c r="Z154" s="9">
        <v>2.7465999999999999</v>
      </c>
      <c r="AA154" s="1">
        <v>2017</v>
      </c>
      <c r="AB154" s="1">
        <v>2</v>
      </c>
      <c r="AC154" s="1">
        <v>1</v>
      </c>
      <c r="AD154" s="3">
        <v>2.7465999999999999</v>
      </c>
      <c r="AE154" s="1">
        <v>4.6762452837379502E-2</v>
      </c>
      <c r="AF154" s="1" t="s">
        <v>178</v>
      </c>
    </row>
    <row r="155" spans="1:32">
      <c r="A155" s="4">
        <v>42825</v>
      </c>
      <c r="B155" s="5">
        <v>3456.0455000000002</v>
      </c>
      <c r="C155" s="1">
        <v>2017</v>
      </c>
      <c r="D155" s="1">
        <v>3</v>
      </c>
      <c r="E155" s="1">
        <v>1</v>
      </c>
      <c r="F155" s="3">
        <v>3456.0455000000002</v>
      </c>
      <c r="G155" s="3">
        <v>9.3697588888682303E-4</v>
      </c>
      <c r="H155" s="3" t="s">
        <v>178</v>
      </c>
      <c r="I155" s="4">
        <v>42825</v>
      </c>
      <c r="J155" s="5">
        <v>185.88</v>
      </c>
      <c r="K155" s="1">
        <v>2017</v>
      </c>
      <c r="L155" s="1">
        <v>3</v>
      </c>
      <c r="M155" s="1">
        <v>1</v>
      </c>
      <c r="N155" s="3">
        <v>185.88</v>
      </c>
      <c r="O155" s="3">
        <v>-2.4866225999370498E-2</v>
      </c>
      <c r="P155" s="3" t="s">
        <v>178</v>
      </c>
      <c r="Q155" s="4">
        <v>42825</v>
      </c>
      <c r="R155" s="5">
        <v>176.7183</v>
      </c>
      <c r="S155" s="1">
        <v>2017</v>
      </c>
      <c r="T155" s="1">
        <v>3</v>
      </c>
      <c r="U155" s="1">
        <v>1</v>
      </c>
      <c r="V155" s="1">
        <v>176.7183</v>
      </c>
      <c r="W155" s="1">
        <v>1.10923283532912E-4</v>
      </c>
      <c r="X155" s="3" t="s">
        <v>178</v>
      </c>
      <c r="Y155" s="4">
        <v>42825</v>
      </c>
      <c r="Z155" s="9">
        <v>2.6166</v>
      </c>
      <c r="AA155" s="1">
        <v>2017</v>
      </c>
      <c r="AB155" s="1">
        <v>3</v>
      </c>
      <c r="AC155" s="1">
        <v>1</v>
      </c>
      <c r="AD155" s="3">
        <v>2.6166</v>
      </c>
      <c r="AE155" s="1">
        <v>-4.7331245904026799E-2</v>
      </c>
      <c r="AF155" s="1" t="s">
        <v>178</v>
      </c>
    </row>
    <row r="156" spans="1:32">
      <c r="A156" s="4">
        <v>42853</v>
      </c>
      <c r="B156" s="5">
        <v>3439.7530000000002</v>
      </c>
      <c r="C156" s="1">
        <v>2017</v>
      </c>
      <c r="D156" s="1">
        <v>4</v>
      </c>
      <c r="E156" s="1">
        <v>1</v>
      </c>
      <c r="F156" s="3">
        <v>3439.7530000000002</v>
      </c>
      <c r="G156" s="3">
        <v>-4.7142029814133003E-3</v>
      </c>
      <c r="H156" s="3" t="s">
        <v>178</v>
      </c>
      <c r="I156" s="4">
        <v>42853</v>
      </c>
      <c r="J156" s="5">
        <v>181.73</v>
      </c>
      <c r="K156" s="1">
        <v>2017</v>
      </c>
      <c r="L156" s="1">
        <v>4</v>
      </c>
      <c r="M156" s="1">
        <v>1</v>
      </c>
      <c r="N156" s="3">
        <v>181.73</v>
      </c>
      <c r="O156" s="3">
        <v>-2.2326231977620001E-2</v>
      </c>
      <c r="P156" s="3" t="s">
        <v>178</v>
      </c>
      <c r="Q156" s="4">
        <v>42853</v>
      </c>
      <c r="R156" s="5">
        <v>175.90479999999999</v>
      </c>
      <c r="S156" s="1">
        <v>2017</v>
      </c>
      <c r="T156" s="1">
        <v>4</v>
      </c>
      <c r="U156" s="1">
        <v>1</v>
      </c>
      <c r="V156" s="1">
        <v>175.90479999999999</v>
      </c>
      <c r="W156" s="1">
        <v>-4.6033715806456099E-3</v>
      </c>
      <c r="X156" s="3" t="s">
        <v>178</v>
      </c>
      <c r="Y156" s="4">
        <v>42853</v>
      </c>
      <c r="Z156" s="9">
        <v>3.1086999999999998</v>
      </c>
      <c r="AA156" s="1">
        <v>2017</v>
      </c>
      <c r="AB156" s="1">
        <v>4</v>
      </c>
      <c r="AC156" s="1">
        <v>1</v>
      </c>
      <c r="AD156" s="3">
        <v>3.1086999999999998</v>
      </c>
      <c r="AE156" s="1">
        <v>0.18806848582129501</v>
      </c>
      <c r="AF156" s="1" t="s">
        <v>178</v>
      </c>
    </row>
    <row r="157" spans="1:32">
      <c r="A157" s="4">
        <v>42886</v>
      </c>
      <c r="B157" s="5">
        <v>3492.8845000000001</v>
      </c>
      <c r="C157" s="1">
        <v>2017</v>
      </c>
      <c r="D157" s="1">
        <v>5</v>
      </c>
      <c r="E157" s="1">
        <v>1</v>
      </c>
      <c r="F157" s="3">
        <v>3492.8845000000001</v>
      </c>
      <c r="G157" s="3">
        <v>1.54463125695362E-2</v>
      </c>
      <c r="H157" s="3" t="s">
        <v>178</v>
      </c>
      <c r="I157" s="4">
        <v>42886</v>
      </c>
      <c r="J157" s="5">
        <v>179.77</v>
      </c>
      <c r="K157" s="1">
        <v>2017</v>
      </c>
      <c r="L157" s="1">
        <v>5</v>
      </c>
      <c r="M157" s="1">
        <v>1</v>
      </c>
      <c r="N157" s="3">
        <v>179.77</v>
      </c>
      <c r="O157" s="3">
        <v>-1.07852308369558E-2</v>
      </c>
      <c r="P157" s="3" t="s">
        <v>178</v>
      </c>
      <c r="Q157" s="4">
        <v>42886</v>
      </c>
      <c r="R157" s="5">
        <v>174.94980000000001</v>
      </c>
      <c r="S157" s="1">
        <v>2017</v>
      </c>
      <c r="T157" s="1">
        <v>5</v>
      </c>
      <c r="U157" s="1">
        <v>1</v>
      </c>
      <c r="V157" s="1">
        <v>174.94980000000001</v>
      </c>
      <c r="W157" s="1">
        <v>-5.42907299857641E-3</v>
      </c>
      <c r="X157" s="3" t="s">
        <v>178</v>
      </c>
      <c r="Y157" s="4">
        <v>42886</v>
      </c>
      <c r="Z157" s="9">
        <v>2.7370000000000001</v>
      </c>
      <c r="AA157" s="1">
        <v>2017</v>
      </c>
      <c r="AB157" s="1">
        <v>5</v>
      </c>
      <c r="AC157" s="1">
        <v>1</v>
      </c>
      <c r="AD157" s="3">
        <v>2.7370000000000001</v>
      </c>
      <c r="AE157" s="1">
        <v>-0.119567664940329</v>
      </c>
      <c r="AF157" s="1" t="s">
        <v>178</v>
      </c>
    </row>
    <row r="158" spans="1:32">
      <c r="A158" s="4">
        <v>42916</v>
      </c>
      <c r="B158" s="5">
        <v>3666.7977000000001</v>
      </c>
      <c r="C158" s="1">
        <v>2017</v>
      </c>
      <c r="D158" s="1">
        <v>6</v>
      </c>
      <c r="E158" s="1">
        <v>1</v>
      </c>
      <c r="F158" s="3">
        <v>3666.7977000000001</v>
      </c>
      <c r="G158" s="3">
        <v>4.9790710228179602E-2</v>
      </c>
      <c r="H158" s="3" t="s">
        <v>178</v>
      </c>
      <c r="I158" s="4">
        <v>42916</v>
      </c>
      <c r="J158" s="5">
        <v>174.78</v>
      </c>
      <c r="K158" s="1">
        <v>2017</v>
      </c>
      <c r="L158" s="1">
        <v>6</v>
      </c>
      <c r="M158" s="1">
        <v>1</v>
      </c>
      <c r="N158" s="3">
        <v>174.78</v>
      </c>
      <c r="O158" s="3">
        <v>-2.7757690382155E-2</v>
      </c>
      <c r="P158" s="3" t="s">
        <v>178</v>
      </c>
      <c r="Q158" s="4">
        <v>42916</v>
      </c>
      <c r="R158" s="5">
        <v>177.11070000000001</v>
      </c>
      <c r="S158" s="1">
        <v>2017</v>
      </c>
      <c r="T158" s="1">
        <v>6</v>
      </c>
      <c r="U158" s="1">
        <v>1</v>
      </c>
      <c r="V158" s="1">
        <v>177.11070000000001</v>
      </c>
      <c r="W158" s="1">
        <v>1.23515431283717E-2</v>
      </c>
      <c r="X158" s="3" t="s">
        <v>178</v>
      </c>
      <c r="Y158" s="4">
        <v>42916</v>
      </c>
      <c r="Z158" s="9">
        <v>2.9222000000000001</v>
      </c>
      <c r="AA158" s="1">
        <v>2017</v>
      </c>
      <c r="AB158" s="1">
        <v>6</v>
      </c>
      <c r="AC158" s="1">
        <v>1</v>
      </c>
      <c r="AD158" s="3">
        <v>2.9222000000000001</v>
      </c>
      <c r="AE158" s="1">
        <v>6.7665327000365399E-2</v>
      </c>
      <c r="AF158" s="1" t="s">
        <v>178</v>
      </c>
    </row>
    <row r="159" spans="1:32">
      <c r="A159" s="4">
        <v>42947</v>
      </c>
      <c r="B159" s="5">
        <v>3737.8732</v>
      </c>
      <c r="C159" s="1">
        <v>2017</v>
      </c>
      <c r="D159" s="1">
        <v>7</v>
      </c>
      <c r="E159" s="1">
        <v>1</v>
      </c>
      <c r="F159" s="3">
        <v>3737.8732</v>
      </c>
      <c r="G159" s="3">
        <v>1.93835345756871E-2</v>
      </c>
      <c r="H159" s="3" t="s">
        <v>178</v>
      </c>
      <c r="I159" s="4">
        <v>42947</v>
      </c>
      <c r="J159" s="5">
        <v>182.64</v>
      </c>
      <c r="K159" s="1">
        <v>2017</v>
      </c>
      <c r="L159" s="1">
        <v>7</v>
      </c>
      <c r="M159" s="1">
        <v>1</v>
      </c>
      <c r="N159" s="3">
        <v>182.64</v>
      </c>
      <c r="O159" s="3">
        <v>4.4970820460006798E-2</v>
      </c>
      <c r="P159" s="3" t="s">
        <v>178</v>
      </c>
      <c r="Q159" s="4">
        <v>42947</v>
      </c>
      <c r="R159" s="5">
        <v>177.67740000000001</v>
      </c>
      <c r="S159" s="1">
        <v>2017</v>
      </c>
      <c r="T159" s="1">
        <v>7</v>
      </c>
      <c r="U159" s="1">
        <v>1</v>
      </c>
      <c r="V159" s="1">
        <v>177.67740000000001</v>
      </c>
      <c r="W159" s="1">
        <v>3.1996937508574999E-3</v>
      </c>
      <c r="X159" s="3" t="s">
        <v>178</v>
      </c>
      <c r="Y159" s="4">
        <v>42947</v>
      </c>
      <c r="Z159" s="9">
        <v>3.0670999999999999</v>
      </c>
      <c r="AA159" s="1">
        <v>2017</v>
      </c>
      <c r="AB159" s="1">
        <v>7</v>
      </c>
      <c r="AC159" s="1">
        <v>1</v>
      </c>
      <c r="AD159" s="3">
        <v>3.0670999999999999</v>
      </c>
      <c r="AE159" s="1">
        <v>4.9585928410101898E-2</v>
      </c>
      <c r="AF159" s="1" t="s">
        <v>178</v>
      </c>
    </row>
    <row r="160" spans="1:32">
      <c r="A160" s="4">
        <v>42978</v>
      </c>
      <c r="B160" s="5">
        <v>3822.0927999999999</v>
      </c>
      <c r="C160" s="1">
        <v>2017</v>
      </c>
      <c r="D160" s="1">
        <v>8</v>
      </c>
      <c r="E160" s="1">
        <v>1</v>
      </c>
      <c r="F160" s="3">
        <v>3822.0927999999999</v>
      </c>
      <c r="G160" s="3">
        <v>2.25314224142221E-2</v>
      </c>
      <c r="H160" s="3" t="s">
        <v>178</v>
      </c>
      <c r="I160" s="4">
        <v>42978</v>
      </c>
      <c r="J160" s="5">
        <v>180.86</v>
      </c>
      <c r="K160" s="1">
        <v>2017</v>
      </c>
      <c r="L160" s="1">
        <v>8</v>
      </c>
      <c r="M160" s="1">
        <v>1</v>
      </c>
      <c r="N160" s="3">
        <v>180.86</v>
      </c>
      <c r="O160" s="3">
        <v>-9.74594831362228E-3</v>
      </c>
      <c r="P160" s="3" t="s">
        <v>178</v>
      </c>
      <c r="Q160" s="4">
        <v>42978</v>
      </c>
      <c r="R160" s="5">
        <v>177.59610000000001</v>
      </c>
      <c r="S160" s="1">
        <v>2017</v>
      </c>
      <c r="T160" s="1">
        <v>8</v>
      </c>
      <c r="U160" s="1">
        <v>1</v>
      </c>
      <c r="V160" s="1">
        <v>177.59610000000001</v>
      </c>
      <c r="W160" s="1">
        <v>-4.5757085594453099E-4</v>
      </c>
      <c r="X160" s="3" t="s">
        <v>178</v>
      </c>
      <c r="Y160" s="4">
        <v>42978</v>
      </c>
      <c r="Z160" s="9">
        <v>3.1646000000000001</v>
      </c>
      <c r="AA160" s="1">
        <v>2017</v>
      </c>
      <c r="AB160" s="1">
        <v>8</v>
      </c>
      <c r="AC160" s="1">
        <v>1</v>
      </c>
      <c r="AD160" s="3">
        <v>3.1646000000000001</v>
      </c>
      <c r="AE160" s="1">
        <v>3.1788986338886903E-2</v>
      </c>
      <c r="AF160" s="1" t="s">
        <v>178</v>
      </c>
    </row>
    <row r="161" spans="1:32">
      <c r="A161" s="4">
        <v>43007</v>
      </c>
      <c r="B161" s="5">
        <v>3836.5012999999999</v>
      </c>
      <c r="C161" s="1">
        <v>2017</v>
      </c>
      <c r="D161" s="1">
        <v>9</v>
      </c>
      <c r="E161" s="1">
        <v>1</v>
      </c>
      <c r="F161" s="3">
        <v>3836.5012999999999</v>
      </c>
      <c r="G161" s="3">
        <v>3.76979334463046E-3</v>
      </c>
      <c r="H161" s="3" t="s">
        <v>178</v>
      </c>
      <c r="I161" s="4">
        <v>43007</v>
      </c>
      <c r="J161" s="5">
        <v>183.08799999999999</v>
      </c>
      <c r="K161" s="1">
        <v>2017</v>
      </c>
      <c r="L161" s="1">
        <v>9</v>
      </c>
      <c r="M161" s="1">
        <v>1</v>
      </c>
      <c r="N161" s="3">
        <v>183.08799999999999</v>
      </c>
      <c r="O161" s="3">
        <v>1.23189207121529E-2</v>
      </c>
      <c r="P161" s="3" t="s">
        <v>178</v>
      </c>
      <c r="Q161" s="4">
        <v>43007</v>
      </c>
      <c r="R161" s="5">
        <v>178.49940000000001</v>
      </c>
      <c r="S161" s="1">
        <v>2017</v>
      </c>
      <c r="T161" s="1">
        <v>9</v>
      </c>
      <c r="U161" s="1">
        <v>1</v>
      </c>
      <c r="V161" s="1">
        <v>178.49940000000001</v>
      </c>
      <c r="W161" s="1">
        <v>5.0862603401763996E-3</v>
      </c>
      <c r="X161" s="3" t="s">
        <v>178</v>
      </c>
      <c r="Y161" s="4">
        <v>43008</v>
      </c>
      <c r="Z161" s="9">
        <v>2.9609000000000001</v>
      </c>
      <c r="AA161" s="1">
        <v>2017</v>
      </c>
      <c r="AB161" s="1">
        <v>9</v>
      </c>
      <c r="AC161" s="1">
        <v>1</v>
      </c>
      <c r="AD161" s="3">
        <v>2.9609000000000001</v>
      </c>
      <c r="AE161" s="1">
        <v>-6.4368324590785606E-2</v>
      </c>
      <c r="AF161" s="1" t="s">
        <v>178</v>
      </c>
    </row>
    <row r="162" spans="1:32">
      <c r="A162" s="4">
        <v>43039</v>
      </c>
      <c r="B162" s="5">
        <v>4006.7179000000001</v>
      </c>
      <c r="C162" s="1">
        <v>2017</v>
      </c>
      <c r="D162" s="1">
        <v>10</v>
      </c>
      <c r="E162" s="1">
        <v>1</v>
      </c>
      <c r="F162" s="3">
        <v>4006.7179000000001</v>
      </c>
      <c r="G162" s="3">
        <v>4.4367663839968E-2</v>
      </c>
      <c r="H162" s="3" t="s">
        <v>178</v>
      </c>
      <c r="I162" s="4">
        <v>43039</v>
      </c>
      <c r="J162" s="5">
        <v>187.55799999999999</v>
      </c>
      <c r="K162" s="1">
        <v>2017</v>
      </c>
      <c r="L162" s="1">
        <v>10</v>
      </c>
      <c r="M162" s="1">
        <v>1</v>
      </c>
      <c r="N162" s="3">
        <v>187.55799999999999</v>
      </c>
      <c r="O162" s="3">
        <v>2.4414489207375701E-2</v>
      </c>
      <c r="P162" s="3" t="s">
        <v>178</v>
      </c>
      <c r="Q162" s="4">
        <v>43039</v>
      </c>
      <c r="R162" s="5">
        <v>177.8425</v>
      </c>
      <c r="S162" s="1">
        <v>2017</v>
      </c>
      <c r="T162" s="1">
        <v>10</v>
      </c>
      <c r="U162" s="1">
        <v>1</v>
      </c>
      <c r="V162" s="1">
        <v>177.8425</v>
      </c>
      <c r="W162" s="1">
        <v>-3.68012441498407E-3</v>
      </c>
      <c r="X162" s="3" t="s">
        <v>178</v>
      </c>
      <c r="Y162" s="4">
        <v>43039</v>
      </c>
      <c r="Z162" s="9">
        <v>3.3757000000000001</v>
      </c>
      <c r="AA162" s="1">
        <v>2017</v>
      </c>
      <c r="AB162" s="1">
        <v>10</v>
      </c>
      <c r="AC162" s="1">
        <v>1</v>
      </c>
      <c r="AD162" s="3">
        <v>3.3757000000000001</v>
      </c>
      <c r="AE162" s="1">
        <v>0.14009253943057901</v>
      </c>
      <c r="AF162" s="1" t="s">
        <v>178</v>
      </c>
    </row>
    <row r="163" spans="1:32">
      <c r="A163" s="4">
        <v>43069</v>
      </c>
      <c r="B163" s="5">
        <v>4006.0992999999999</v>
      </c>
      <c r="C163" s="1">
        <v>2017</v>
      </c>
      <c r="D163" s="1">
        <v>11</v>
      </c>
      <c r="E163" s="1">
        <v>1</v>
      </c>
      <c r="F163" s="3">
        <v>4006.0992999999999</v>
      </c>
      <c r="G163" s="3">
        <v>-1.5439070467133299E-4</v>
      </c>
      <c r="H163" s="3" t="s">
        <v>178</v>
      </c>
      <c r="I163" s="4">
        <v>43069</v>
      </c>
      <c r="J163" s="5">
        <v>189.17</v>
      </c>
      <c r="K163" s="1">
        <v>2017</v>
      </c>
      <c r="L163" s="1">
        <v>11</v>
      </c>
      <c r="M163" s="1">
        <v>1</v>
      </c>
      <c r="N163" s="3">
        <v>189.17</v>
      </c>
      <c r="O163" s="3">
        <v>8.5946747139551208E-3</v>
      </c>
      <c r="P163" s="3" t="s">
        <v>178</v>
      </c>
      <c r="Q163" s="4">
        <v>43069</v>
      </c>
      <c r="R163" s="5">
        <v>177.41560000000001</v>
      </c>
      <c r="S163" s="1">
        <v>2017</v>
      </c>
      <c r="T163" s="1">
        <v>11</v>
      </c>
      <c r="U163" s="1">
        <v>1</v>
      </c>
      <c r="V163" s="1">
        <v>177.41560000000001</v>
      </c>
      <c r="W163" s="1">
        <v>-2.4004385903256499E-3</v>
      </c>
      <c r="X163" s="3" t="s">
        <v>178</v>
      </c>
      <c r="Y163" s="4">
        <v>43069</v>
      </c>
      <c r="Z163" s="9">
        <v>3.0697000000000001</v>
      </c>
      <c r="AA163" s="1">
        <v>2017</v>
      </c>
      <c r="AB163" s="1">
        <v>11</v>
      </c>
      <c r="AC163" s="1">
        <v>1</v>
      </c>
      <c r="AD163" s="3">
        <v>3.0697000000000001</v>
      </c>
      <c r="AE163" s="1">
        <v>-9.0647865627869806E-2</v>
      </c>
      <c r="AF163" s="1" t="s">
        <v>178</v>
      </c>
    </row>
    <row r="164" spans="1:32">
      <c r="A164" s="4">
        <v>43098</v>
      </c>
      <c r="B164" s="5">
        <v>4030.8548999999998</v>
      </c>
      <c r="C164" s="1">
        <v>2017</v>
      </c>
      <c r="D164" s="1">
        <v>12</v>
      </c>
      <c r="E164" s="1">
        <v>-11</v>
      </c>
      <c r="F164" s="3">
        <v>4030.8548999999998</v>
      </c>
      <c r="G164" s="3">
        <v>6.1794773784064599E-3</v>
      </c>
      <c r="H164" s="3" t="s">
        <v>178</v>
      </c>
      <c r="I164" s="4">
        <v>43098</v>
      </c>
      <c r="J164" s="5">
        <v>193.86</v>
      </c>
      <c r="K164" s="1">
        <v>2017</v>
      </c>
      <c r="L164" s="1">
        <v>12</v>
      </c>
      <c r="M164" s="1">
        <v>-11</v>
      </c>
      <c r="N164" s="3">
        <v>193.86</v>
      </c>
      <c r="O164" s="3">
        <v>2.4792514669345199E-2</v>
      </c>
      <c r="P164" s="3" t="s">
        <v>178</v>
      </c>
      <c r="Q164" s="4">
        <v>43098</v>
      </c>
      <c r="R164" s="5">
        <v>177.69579999999999</v>
      </c>
      <c r="S164" s="1">
        <v>2017</v>
      </c>
      <c r="T164" s="1">
        <v>12</v>
      </c>
      <c r="U164" s="1">
        <v>-11</v>
      </c>
      <c r="V164" s="1">
        <v>177.69579999999999</v>
      </c>
      <c r="W164" s="1">
        <v>1.5793425155396701E-3</v>
      </c>
      <c r="X164" s="3" t="s">
        <v>178</v>
      </c>
      <c r="Y164" s="4">
        <v>43098</v>
      </c>
      <c r="Z164" s="9">
        <v>3.5871</v>
      </c>
      <c r="AA164" s="1">
        <v>2017</v>
      </c>
      <c r="AB164" s="1">
        <v>12</v>
      </c>
      <c r="AC164" s="1">
        <v>-11</v>
      </c>
      <c r="AD164" s="3">
        <v>3.5871</v>
      </c>
      <c r="AE164" s="1">
        <v>0.16855067270417301</v>
      </c>
      <c r="AF164" s="1" t="s">
        <v>178</v>
      </c>
    </row>
    <row r="165" spans="1:32">
      <c r="A165" s="4">
        <v>43131</v>
      </c>
      <c r="B165" s="5">
        <v>4275.8986000000004</v>
      </c>
      <c r="C165" s="1">
        <v>2018</v>
      </c>
      <c r="D165" s="1">
        <v>1</v>
      </c>
      <c r="E165" s="1">
        <v>1</v>
      </c>
      <c r="F165" s="3">
        <v>4275.8986000000004</v>
      </c>
      <c r="G165" s="3">
        <v>6.07919922892785E-2</v>
      </c>
      <c r="H165" s="3" t="s">
        <v>178</v>
      </c>
      <c r="I165" s="4">
        <v>43131</v>
      </c>
      <c r="J165" s="5">
        <v>197.38</v>
      </c>
      <c r="K165" s="1">
        <v>2018</v>
      </c>
      <c r="L165" s="1">
        <v>1</v>
      </c>
      <c r="M165" s="1">
        <v>1</v>
      </c>
      <c r="N165" s="3">
        <v>197.38</v>
      </c>
      <c r="O165" s="3">
        <v>1.8157433199215801E-2</v>
      </c>
      <c r="P165" s="3" t="s">
        <v>178</v>
      </c>
      <c r="Q165" s="4">
        <v>43131</v>
      </c>
      <c r="R165" s="5">
        <v>178.33609999999999</v>
      </c>
      <c r="S165" s="1">
        <v>2018</v>
      </c>
      <c r="T165" s="1">
        <v>1</v>
      </c>
      <c r="U165" s="1">
        <v>1</v>
      </c>
      <c r="V165" s="1">
        <v>178.33609999999999</v>
      </c>
      <c r="W165" s="1">
        <v>3.6033490943511099E-3</v>
      </c>
      <c r="X165" s="3" t="s">
        <v>178</v>
      </c>
      <c r="Y165" s="4">
        <v>43131</v>
      </c>
      <c r="Z165" s="9">
        <v>2.7029999999999998</v>
      </c>
      <c r="AA165" s="1">
        <v>2018</v>
      </c>
      <c r="AB165" s="1">
        <v>1</v>
      </c>
      <c r="AC165" s="1">
        <v>1</v>
      </c>
      <c r="AD165" s="3">
        <v>2.7029999999999998</v>
      </c>
      <c r="AE165" s="1">
        <v>-0.24646650497616501</v>
      </c>
      <c r="AF165" s="1" t="s">
        <v>178</v>
      </c>
    </row>
    <row r="166" spans="1:32">
      <c r="A166" s="4">
        <v>43159</v>
      </c>
      <c r="B166" s="5">
        <v>4023.6415000000002</v>
      </c>
      <c r="C166" s="1">
        <v>2018</v>
      </c>
      <c r="D166" s="1">
        <v>2</v>
      </c>
      <c r="E166" s="1">
        <v>1</v>
      </c>
      <c r="F166" s="3">
        <v>4023.6415000000002</v>
      </c>
      <c r="G166" s="3">
        <v>-5.8995108069213903E-2</v>
      </c>
      <c r="H166" s="3" t="s">
        <v>178</v>
      </c>
      <c r="I166" s="4">
        <v>43159</v>
      </c>
      <c r="J166" s="5">
        <v>193.95</v>
      </c>
      <c r="K166" s="1">
        <v>2018</v>
      </c>
      <c r="L166" s="1">
        <v>2</v>
      </c>
      <c r="M166" s="1">
        <v>1</v>
      </c>
      <c r="N166" s="3">
        <v>193.95</v>
      </c>
      <c r="O166" s="3">
        <v>-1.73776471780323E-2</v>
      </c>
      <c r="P166" s="3" t="s">
        <v>178</v>
      </c>
      <c r="Q166" s="4">
        <v>43159</v>
      </c>
      <c r="R166" s="5">
        <v>179.74189999999999</v>
      </c>
      <c r="S166" s="1">
        <v>2018</v>
      </c>
      <c r="T166" s="1">
        <v>2</v>
      </c>
      <c r="U166" s="1">
        <v>1</v>
      </c>
      <c r="V166" s="1">
        <v>179.74189999999999</v>
      </c>
      <c r="W166" s="1">
        <v>7.8828683592385394E-3</v>
      </c>
      <c r="X166" s="3" t="s">
        <v>178</v>
      </c>
      <c r="Y166" s="4">
        <v>43159</v>
      </c>
      <c r="Z166" s="9">
        <v>2.9136000000000002</v>
      </c>
      <c r="AA166" s="1">
        <v>2018</v>
      </c>
      <c r="AB166" s="1">
        <v>2</v>
      </c>
      <c r="AC166" s="1">
        <v>1</v>
      </c>
      <c r="AD166" s="3">
        <v>2.9136000000000002</v>
      </c>
      <c r="AE166" s="1">
        <v>7.7913429522752597E-2</v>
      </c>
      <c r="AF166" s="1" t="s">
        <v>178</v>
      </c>
    </row>
    <row r="167" spans="1:32">
      <c r="A167" s="4">
        <v>43189</v>
      </c>
      <c r="B167" s="5">
        <v>3898.4976999999999</v>
      </c>
      <c r="C167" s="1">
        <v>2018</v>
      </c>
      <c r="D167" s="1">
        <v>3</v>
      </c>
      <c r="E167" s="1">
        <v>1</v>
      </c>
      <c r="F167" s="3">
        <v>3898.4976999999999</v>
      </c>
      <c r="G167" s="3">
        <v>-3.11021247792579E-2</v>
      </c>
      <c r="H167" s="3" t="s">
        <v>178</v>
      </c>
      <c r="I167" s="4">
        <v>43188</v>
      </c>
      <c r="J167" s="5">
        <v>195.36</v>
      </c>
      <c r="K167" s="1">
        <v>2018</v>
      </c>
      <c r="L167" s="1">
        <v>3</v>
      </c>
      <c r="M167" s="1">
        <v>1</v>
      </c>
      <c r="N167" s="3">
        <v>195.36</v>
      </c>
      <c r="O167" s="3">
        <v>7.2699149265275896E-3</v>
      </c>
      <c r="P167" s="3" t="s">
        <v>178</v>
      </c>
      <c r="Q167" s="4">
        <v>43189</v>
      </c>
      <c r="R167" s="5">
        <v>181.09569999999999</v>
      </c>
      <c r="S167" s="1">
        <v>2018</v>
      </c>
      <c r="T167" s="1">
        <v>3</v>
      </c>
      <c r="U167" s="1">
        <v>1</v>
      </c>
      <c r="V167" s="1">
        <v>181.09569999999999</v>
      </c>
      <c r="W167" s="1">
        <v>7.5319110346558403E-3</v>
      </c>
      <c r="X167" s="3" t="s">
        <v>178</v>
      </c>
      <c r="Y167" s="4">
        <v>43189</v>
      </c>
      <c r="Z167" s="9">
        <v>3.4424999999999999</v>
      </c>
      <c r="AA167" s="1">
        <v>2018</v>
      </c>
      <c r="AB167" s="1">
        <v>3</v>
      </c>
      <c r="AC167" s="1">
        <v>1</v>
      </c>
      <c r="AD167" s="3">
        <v>3.4424999999999999</v>
      </c>
      <c r="AE167" s="1">
        <v>0.18152800658978599</v>
      </c>
      <c r="AF167" s="1" t="s">
        <v>178</v>
      </c>
    </row>
    <row r="168" spans="1:32">
      <c r="A168" s="4">
        <v>43217</v>
      </c>
      <c r="B168" s="5">
        <v>3756.8764999999999</v>
      </c>
      <c r="C168" s="1">
        <v>2018</v>
      </c>
      <c r="D168" s="1">
        <v>4</v>
      </c>
      <c r="E168" s="1">
        <v>1</v>
      </c>
      <c r="F168" s="3">
        <v>3756.8764999999999</v>
      </c>
      <c r="G168" s="3">
        <v>-3.6327121598661E-2</v>
      </c>
      <c r="H168" s="3" t="s">
        <v>178</v>
      </c>
      <c r="I168" s="4">
        <v>43217</v>
      </c>
      <c r="J168" s="5">
        <v>201.39</v>
      </c>
      <c r="K168" s="1">
        <v>2018</v>
      </c>
      <c r="L168" s="1">
        <v>4</v>
      </c>
      <c r="M168" s="1">
        <v>1</v>
      </c>
      <c r="N168" s="3">
        <v>201.39</v>
      </c>
      <c r="O168" s="3">
        <v>3.0866093366093202E-2</v>
      </c>
      <c r="P168" s="3" t="s">
        <v>178</v>
      </c>
      <c r="Q168" s="4">
        <v>43217</v>
      </c>
      <c r="R168" s="5">
        <v>183.20089999999999</v>
      </c>
      <c r="S168" s="1">
        <v>2018</v>
      </c>
      <c r="T168" s="1">
        <v>4</v>
      </c>
      <c r="U168" s="1">
        <v>1</v>
      </c>
      <c r="V168" s="1">
        <v>183.20089999999999</v>
      </c>
      <c r="W168" s="1">
        <v>1.1624792858140699E-2</v>
      </c>
      <c r="X168" s="3" t="s">
        <v>178</v>
      </c>
      <c r="Y168" s="4">
        <v>43218</v>
      </c>
      <c r="Z168" s="9">
        <v>2.8010000000000002</v>
      </c>
      <c r="AA168" s="1">
        <v>2018</v>
      </c>
      <c r="AB168" s="1">
        <v>4</v>
      </c>
      <c r="AC168" s="1">
        <v>1</v>
      </c>
      <c r="AD168" s="3">
        <v>2.8010000000000002</v>
      </c>
      <c r="AE168" s="1">
        <v>-0.18634713144517101</v>
      </c>
      <c r="AF168" s="1" t="s">
        <v>178</v>
      </c>
    </row>
    <row r="169" spans="1:32">
      <c r="A169" s="4">
        <v>44165</v>
      </c>
      <c r="B169" s="5">
        <v>4960.2519000000002</v>
      </c>
      <c r="C169" s="1">
        <v>2020</v>
      </c>
      <c r="D169" s="1">
        <v>11</v>
      </c>
      <c r="E169" s="1">
        <v>1</v>
      </c>
      <c r="F169" s="3">
        <v>4960.2519000000002</v>
      </c>
      <c r="G169" s="3">
        <v>5.6421569005381401E-2</v>
      </c>
      <c r="H169" s="3" t="s">
        <v>178</v>
      </c>
      <c r="I169" s="4">
        <v>44165</v>
      </c>
      <c r="J169" s="5">
        <v>160.06</v>
      </c>
      <c r="K169" s="1">
        <v>2020</v>
      </c>
      <c r="L169" s="1">
        <v>11</v>
      </c>
      <c r="M169" s="1">
        <v>1</v>
      </c>
      <c r="N169" s="3">
        <v>160.06</v>
      </c>
      <c r="O169" s="3">
        <v>0.105921370828439</v>
      </c>
      <c r="P169" s="3" t="s">
        <v>178</v>
      </c>
      <c r="Q169" s="4">
        <v>44165</v>
      </c>
      <c r="R169" s="5">
        <v>205.66290000000001</v>
      </c>
      <c r="S169" s="1">
        <v>2020</v>
      </c>
      <c r="T169" s="1">
        <v>11</v>
      </c>
      <c r="U169" s="1">
        <v>1</v>
      </c>
      <c r="V169" s="1">
        <v>205.66290000000001</v>
      </c>
      <c r="W169" s="1">
        <v>1.7247190573420001E-3</v>
      </c>
      <c r="X169" s="3" t="s">
        <v>178</v>
      </c>
      <c r="Y169" s="4">
        <v>44165</v>
      </c>
      <c r="Z169" s="9">
        <v>1.2567999999999999</v>
      </c>
      <c r="AA169" s="1">
        <v>2020</v>
      </c>
      <c r="AB169" s="1">
        <v>11</v>
      </c>
      <c r="AC169" s="1">
        <v>1</v>
      </c>
      <c r="AD169" s="3">
        <v>1.2567999999999999</v>
      </c>
      <c r="AE169" s="1">
        <v>-0.56927927619178198</v>
      </c>
      <c r="AF169" s="1" t="s">
        <v>178</v>
      </c>
    </row>
    <row r="170" spans="1:32">
      <c r="A170" s="4">
        <v>44196</v>
      </c>
      <c r="B170" s="5">
        <v>5211.2884999999997</v>
      </c>
      <c r="C170" s="1">
        <v>2020</v>
      </c>
      <c r="D170" s="1">
        <v>12</v>
      </c>
      <c r="E170" s="1">
        <v>-11</v>
      </c>
      <c r="F170" s="3">
        <v>5211.2884999999997</v>
      </c>
      <c r="G170" s="3">
        <v>5.0609647465686101E-2</v>
      </c>
      <c r="H170" s="3" t="s">
        <v>178</v>
      </c>
      <c r="I170" s="4">
        <v>44196</v>
      </c>
      <c r="J170" s="5">
        <v>167.8</v>
      </c>
      <c r="K170" s="1">
        <v>2020</v>
      </c>
      <c r="L170" s="1">
        <v>12</v>
      </c>
      <c r="M170" s="1">
        <v>-11</v>
      </c>
      <c r="N170" s="3">
        <v>167.8</v>
      </c>
      <c r="O170" s="3">
        <v>4.83568661751844E-2</v>
      </c>
      <c r="P170" s="3" t="s">
        <v>178</v>
      </c>
      <c r="Q170" s="4">
        <v>44196</v>
      </c>
      <c r="R170" s="5">
        <v>207.1883</v>
      </c>
      <c r="S170" s="1">
        <v>2020</v>
      </c>
      <c r="T170" s="1">
        <v>12</v>
      </c>
      <c r="U170" s="1">
        <v>-11</v>
      </c>
      <c r="V170" s="1">
        <v>207.1883</v>
      </c>
      <c r="W170" s="1">
        <v>7.4169915915801602E-3</v>
      </c>
      <c r="X170" s="3" t="s">
        <v>178</v>
      </c>
      <c r="Y170" s="4">
        <v>44196</v>
      </c>
      <c r="Z170" s="9">
        <v>1.4548000000000001</v>
      </c>
      <c r="AA170" s="1">
        <v>2020</v>
      </c>
      <c r="AB170" s="1">
        <v>12</v>
      </c>
      <c r="AC170" s="1">
        <v>-11</v>
      </c>
      <c r="AD170" s="3">
        <v>1.4548000000000001</v>
      </c>
      <c r="AE170" s="1">
        <v>0.15754296626352701</v>
      </c>
      <c r="AF170" s="1" t="s">
        <v>178</v>
      </c>
    </row>
    <row r="171" spans="1:32">
      <c r="A171" s="4">
        <v>44225</v>
      </c>
      <c r="B171" s="5">
        <v>5351.9646000000002</v>
      </c>
      <c r="C171" s="1">
        <v>2021</v>
      </c>
      <c r="D171" s="1">
        <v>1</v>
      </c>
      <c r="E171" s="1">
        <v>1</v>
      </c>
      <c r="F171" s="3">
        <v>5351.9646000000002</v>
      </c>
      <c r="G171" s="3">
        <v>2.6994494739640801E-2</v>
      </c>
      <c r="H171" s="3" t="s">
        <v>178</v>
      </c>
      <c r="I171" s="4">
        <v>44225</v>
      </c>
      <c r="J171" s="5">
        <v>174.2</v>
      </c>
      <c r="K171" s="1">
        <v>2021</v>
      </c>
      <c r="L171" s="1">
        <v>1</v>
      </c>
      <c r="M171" s="1">
        <v>1</v>
      </c>
      <c r="N171" s="3">
        <v>174.2</v>
      </c>
      <c r="O171" s="3">
        <v>3.8140643623360997E-2</v>
      </c>
      <c r="P171" s="3" t="s">
        <v>178</v>
      </c>
      <c r="Q171" s="4">
        <v>44225</v>
      </c>
      <c r="R171" s="5">
        <v>207.6662</v>
      </c>
      <c r="S171" s="1">
        <v>2021</v>
      </c>
      <c r="T171" s="1">
        <v>1</v>
      </c>
      <c r="U171" s="1">
        <v>1</v>
      </c>
      <c r="V171" s="1">
        <v>207.6662</v>
      </c>
      <c r="W171" s="1">
        <v>2.3065974285227798E-3</v>
      </c>
      <c r="X171" s="3" t="s">
        <v>178</v>
      </c>
      <c r="Y171" s="4">
        <v>44225</v>
      </c>
      <c r="Z171" s="9">
        <v>6.5883000000000003</v>
      </c>
      <c r="AA171" s="1">
        <v>2021</v>
      </c>
      <c r="AB171" s="1">
        <v>1</v>
      </c>
      <c r="AC171" s="1">
        <v>1</v>
      </c>
      <c r="AD171" s="3">
        <v>6.5883000000000003</v>
      </c>
      <c r="AE171" s="1">
        <v>3.5286637338465798</v>
      </c>
      <c r="AF171" s="1" t="s">
        <v>178</v>
      </c>
    </row>
    <row r="172" spans="1:32">
      <c r="A172" s="4">
        <v>44253</v>
      </c>
      <c r="B172" s="5">
        <v>5336.7609000000002</v>
      </c>
      <c r="C172" s="1">
        <v>2021</v>
      </c>
      <c r="D172" s="1">
        <v>2</v>
      </c>
      <c r="E172" s="1">
        <v>1</v>
      </c>
      <c r="F172" s="3">
        <v>5336.7609000000002</v>
      </c>
      <c r="G172" s="3">
        <v>-2.8407699109220599E-3</v>
      </c>
      <c r="H172" s="3" t="s">
        <v>178</v>
      </c>
      <c r="I172" s="4">
        <v>44253</v>
      </c>
      <c r="J172" s="5">
        <v>190.43</v>
      </c>
      <c r="K172" s="1">
        <v>2021</v>
      </c>
      <c r="L172" s="1">
        <v>2</v>
      </c>
      <c r="M172" s="1">
        <v>1</v>
      </c>
      <c r="N172" s="3">
        <v>190.43</v>
      </c>
      <c r="O172" s="3">
        <v>9.3168771526980595E-2</v>
      </c>
      <c r="P172" s="3" t="s">
        <v>178</v>
      </c>
      <c r="Q172" s="4">
        <v>44253</v>
      </c>
      <c r="R172" s="5">
        <v>207.81450000000001</v>
      </c>
      <c r="S172" s="1">
        <v>2021</v>
      </c>
      <c r="T172" s="1">
        <v>2</v>
      </c>
      <c r="U172" s="1">
        <v>1</v>
      </c>
      <c r="V172" s="1">
        <v>207.81450000000001</v>
      </c>
      <c r="W172" s="1">
        <v>7.1412680542142198E-4</v>
      </c>
      <c r="X172" s="3" t="s">
        <v>178</v>
      </c>
      <c r="Y172" s="4">
        <v>44253</v>
      </c>
      <c r="Z172" s="9">
        <v>2.2122000000000002</v>
      </c>
      <c r="AA172" s="1">
        <v>2021</v>
      </c>
      <c r="AB172" s="1">
        <v>2</v>
      </c>
      <c r="AC172" s="1">
        <v>1</v>
      </c>
      <c r="AD172" s="3">
        <v>2.2122000000000002</v>
      </c>
      <c r="AE172" s="1">
        <v>-0.66422294066754695</v>
      </c>
      <c r="AF172" s="1" t="s">
        <v>178</v>
      </c>
    </row>
    <row r="173" spans="1:32">
      <c r="A173" s="4">
        <v>44286</v>
      </c>
      <c r="B173" s="5">
        <v>5048.3607000000002</v>
      </c>
      <c r="C173" s="1">
        <v>2021</v>
      </c>
      <c r="D173" s="1">
        <v>3</v>
      </c>
      <c r="E173" s="1">
        <v>1</v>
      </c>
      <c r="F173" s="3">
        <v>5048.3607000000002</v>
      </c>
      <c r="G173" s="3">
        <v>-5.4040307483140197E-2</v>
      </c>
      <c r="H173" s="3" t="s">
        <v>178</v>
      </c>
      <c r="I173" s="4">
        <v>44286</v>
      </c>
      <c r="J173" s="5">
        <v>184.96</v>
      </c>
      <c r="K173" s="1">
        <v>2021</v>
      </c>
      <c r="L173" s="1">
        <v>3</v>
      </c>
      <c r="M173" s="1">
        <v>1</v>
      </c>
      <c r="N173" s="3">
        <v>184.96</v>
      </c>
      <c r="O173" s="3">
        <v>-2.8724465682928101E-2</v>
      </c>
      <c r="P173" s="3" t="s">
        <v>178</v>
      </c>
      <c r="Q173" s="4">
        <v>44286</v>
      </c>
      <c r="R173" s="5">
        <v>209.04490000000001</v>
      </c>
      <c r="S173" s="1">
        <v>2021</v>
      </c>
      <c r="T173" s="1">
        <v>3</v>
      </c>
      <c r="U173" s="1">
        <v>1</v>
      </c>
      <c r="V173" s="1">
        <v>209.04490000000001</v>
      </c>
      <c r="W173" s="1">
        <v>5.9206648236769001E-3</v>
      </c>
      <c r="X173" s="3" t="s">
        <v>178</v>
      </c>
      <c r="Y173" s="4">
        <v>44286</v>
      </c>
      <c r="Z173" s="9">
        <v>2.3929</v>
      </c>
      <c r="AA173" s="1">
        <v>2021</v>
      </c>
      <c r="AB173" s="1">
        <v>3</v>
      </c>
      <c r="AC173" s="1">
        <v>1</v>
      </c>
      <c r="AD173" s="3">
        <v>2.3929</v>
      </c>
      <c r="AE173" s="1">
        <v>8.1683392098363505E-2</v>
      </c>
      <c r="AF173" s="1" t="s">
        <v>178</v>
      </c>
    </row>
    <row r="174" spans="1:32">
      <c r="A174" s="4">
        <v>44316</v>
      </c>
      <c r="B174" s="5">
        <v>5123.4889999999996</v>
      </c>
      <c r="C174" s="1">
        <v>2021</v>
      </c>
      <c r="D174" s="1">
        <v>4</v>
      </c>
      <c r="E174" s="1">
        <v>1</v>
      </c>
      <c r="F174" s="3">
        <v>5123.4889999999996</v>
      </c>
      <c r="G174" s="3">
        <v>1.48817219023196E-2</v>
      </c>
      <c r="H174" s="3" t="s">
        <v>178</v>
      </c>
      <c r="I174" s="4">
        <v>44316</v>
      </c>
      <c r="J174" s="5">
        <v>199.76</v>
      </c>
      <c r="K174" s="1">
        <v>2021</v>
      </c>
      <c r="L174" s="1">
        <v>4</v>
      </c>
      <c r="M174" s="1">
        <v>1</v>
      </c>
      <c r="N174" s="3">
        <v>199.76</v>
      </c>
      <c r="O174" s="3">
        <v>8.0017301038062205E-2</v>
      </c>
      <c r="P174" s="3" t="s">
        <v>178</v>
      </c>
      <c r="Q174" s="4">
        <v>44316</v>
      </c>
      <c r="R174" s="5">
        <v>210.03139999999999</v>
      </c>
      <c r="S174" s="1">
        <v>2021</v>
      </c>
      <c r="T174" s="1">
        <v>4</v>
      </c>
      <c r="U174" s="1">
        <v>1</v>
      </c>
      <c r="V174" s="1">
        <v>210.03139999999999</v>
      </c>
      <c r="W174" s="1">
        <v>4.7190818814521604E-3</v>
      </c>
      <c r="X174" s="3" t="s">
        <v>178</v>
      </c>
      <c r="Y174" s="4">
        <v>44316</v>
      </c>
      <c r="Z174" s="9">
        <v>2.3130000000000002</v>
      </c>
      <c r="AA174" s="1">
        <v>2021</v>
      </c>
      <c r="AB174" s="1">
        <v>4</v>
      </c>
      <c r="AC174" s="1">
        <v>1</v>
      </c>
      <c r="AD174" s="3">
        <v>2.3130000000000002</v>
      </c>
      <c r="AE174" s="1">
        <v>-3.3390446738267299E-2</v>
      </c>
      <c r="AF174" s="1" t="s">
        <v>178</v>
      </c>
    </row>
    <row r="175" spans="1:32">
      <c r="A175" s="4">
        <v>44347</v>
      </c>
      <c r="B175" s="5">
        <v>5331.5695999999998</v>
      </c>
      <c r="C175" s="1">
        <v>2021</v>
      </c>
      <c r="D175" s="1">
        <v>5</v>
      </c>
      <c r="E175" s="1">
        <v>1</v>
      </c>
      <c r="F175" s="3">
        <v>5331.5695999999998</v>
      </c>
      <c r="G175" s="3">
        <v>4.0613066603636699E-2</v>
      </c>
      <c r="H175" s="3" t="s">
        <v>178</v>
      </c>
      <c r="I175" s="4">
        <v>44344</v>
      </c>
      <c r="J175" s="5">
        <v>205.7</v>
      </c>
      <c r="K175" s="1">
        <v>2021</v>
      </c>
      <c r="L175" s="1">
        <v>5</v>
      </c>
      <c r="M175" s="1">
        <v>1</v>
      </c>
      <c r="N175" s="3">
        <v>205.7</v>
      </c>
      <c r="O175" s="3">
        <v>2.97356828193833E-2</v>
      </c>
      <c r="P175" s="3" t="s">
        <v>178</v>
      </c>
      <c r="Q175" s="4">
        <v>44347</v>
      </c>
      <c r="R175" s="5">
        <v>211.20060000000001</v>
      </c>
      <c r="S175" s="1">
        <v>2021</v>
      </c>
      <c r="T175" s="1">
        <v>5</v>
      </c>
      <c r="U175" s="1">
        <v>1</v>
      </c>
      <c r="V175" s="1">
        <v>211.20060000000001</v>
      </c>
      <c r="W175" s="1">
        <v>5.5667866804678598E-3</v>
      </c>
      <c r="X175" s="3" t="s">
        <v>178</v>
      </c>
      <c r="Y175" s="4">
        <v>44347</v>
      </c>
      <c r="Z175" s="9">
        <v>2.5068999999999999</v>
      </c>
      <c r="AA175" s="1">
        <v>2021</v>
      </c>
      <c r="AB175" s="1">
        <v>5</v>
      </c>
      <c r="AC175" s="1">
        <v>1</v>
      </c>
      <c r="AD175" s="3">
        <v>2.5068999999999999</v>
      </c>
      <c r="AE175" s="1">
        <v>8.3830523130133894E-2</v>
      </c>
      <c r="AF175" s="1" t="s">
        <v>178</v>
      </c>
    </row>
    <row r="176" spans="1:32">
      <c r="A176" s="4">
        <v>44377</v>
      </c>
      <c r="B176" s="5">
        <v>5224.0410000000002</v>
      </c>
      <c r="C176" s="1">
        <v>2021</v>
      </c>
      <c r="D176" s="1">
        <v>6</v>
      </c>
      <c r="E176" s="1">
        <v>1</v>
      </c>
      <c r="F176" s="3">
        <v>5224.0410000000002</v>
      </c>
      <c r="G176" s="3">
        <v>-2.0168282150907199E-2</v>
      </c>
      <c r="H176" s="3" t="s">
        <v>178</v>
      </c>
      <c r="I176" s="4">
        <v>44377</v>
      </c>
      <c r="J176" s="5">
        <v>213.39</v>
      </c>
      <c r="K176" s="1">
        <v>2021</v>
      </c>
      <c r="L176" s="1">
        <v>6</v>
      </c>
      <c r="M176" s="1">
        <v>1</v>
      </c>
      <c r="N176" s="3">
        <v>213.39</v>
      </c>
      <c r="O176" s="3">
        <v>3.7384540593096698E-2</v>
      </c>
      <c r="P176" s="3" t="s">
        <v>178</v>
      </c>
      <c r="Q176" s="4">
        <v>44377</v>
      </c>
      <c r="R176" s="5">
        <v>211.61930000000001</v>
      </c>
      <c r="S176" s="1">
        <v>2021</v>
      </c>
      <c r="T176" s="1">
        <v>6</v>
      </c>
      <c r="U176" s="1">
        <v>1</v>
      </c>
      <c r="V176" s="1">
        <v>211.61930000000001</v>
      </c>
      <c r="W176" s="1">
        <v>1.9824754285735998E-3</v>
      </c>
      <c r="X176" s="3" t="s">
        <v>178</v>
      </c>
      <c r="Y176" s="4">
        <v>44377</v>
      </c>
      <c r="Z176" s="9">
        <v>3.6480999999999999</v>
      </c>
      <c r="AA176" s="1">
        <v>2021</v>
      </c>
      <c r="AB176" s="1">
        <v>6</v>
      </c>
      <c r="AC176" s="1">
        <v>1</v>
      </c>
      <c r="AD176" s="3">
        <v>3.6480999999999999</v>
      </c>
      <c r="AE176" s="1">
        <v>0.45522358291116499</v>
      </c>
      <c r="AF176" s="1" t="s">
        <v>178</v>
      </c>
    </row>
    <row r="177" spans="1:32">
      <c r="A177" s="4">
        <v>38352</v>
      </c>
      <c r="B177" s="5">
        <v>1000</v>
      </c>
      <c r="C177" s="1">
        <v>2004</v>
      </c>
      <c r="D177" s="1">
        <v>12</v>
      </c>
      <c r="E177" s="1">
        <v>-11</v>
      </c>
      <c r="F177" s="3">
        <v>1000</v>
      </c>
      <c r="G177" s="3">
        <v>-5.9101592564644499E-2</v>
      </c>
      <c r="H177" s="3" t="s">
        <v>180</v>
      </c>
      <c r="I177" s="4">
        <v>38352</v>
      </c>
      <c r="J177" s="5">
        <v>283.93</v>
      </c>
      <c r="K177" s="1">
        <v>2004</v>
      </c>
      <c r="L177" s="1">
        <v>12</v>
      </c>
      <c r="M177" s="1">
        <v>-11</v>
      </c>
      <c r="N177" s="3">
        <v>283.93</v>
      </c>
      <c r="O177" s="3">
        <v>-2.83357859073953E-2</v>
      </c>
      <c r="P177" s="3" t="s">
        <v>180</v>
      </c>
      <c r="Q177" s="4">
        <v>38352</v>
      </c>
      <c r="R177" s="5">
        <v>105.33799999999999</v>
      </c>
      <c r="S177" s="1">
        <v>2004</v>
      </c>
      <c r="T177" s="1">
        <v>12</v>
      </c>
      <c r="U177" s="1">
        <v>-11</v>
      </c>
      <c r="V177" s="1">
        <v>105.33799999999999</v>
      </c>
      <c r="W177" s="1">
        <v>5.3926106916858101E-3</v>
      </c>
      <c r="X177" s="3" t="s">
        <v>180</v>
      </c>
      <c r="Y177" s="4">
        <v>38352</v>
      </c>
      <c r="Z177" s="9">
        <v>1.8007</v>
      </c>
      <c r="AA177" s="1">
        <v>2004</v>
      </c>
      <c r="AB177" s="1">
        <v>12</v>
      </c>
      <c r="AC177" s="1">
        <v>-11</v>
      </c>
      <c r="AD177" s="3">
        <v>1.8007</v>
      </c>
      <c r="AE177" s="1">
        <v>-0.119548210443966</v>
      </c>
      <c r="AF177" s="1" t="s">
        <v>180</v>
      </c>
    </row>
    <row r="178" spans="1:32">
      <c r="A178" s="4">
        <v>38383</v>
      </c>
      <c r="B178" s="5">
        <v>954.87900000000002</v>
      </c>
      <c r="C178" s="1">
        <v>2005</v>
      </c>
      <c r="D178" s="1">
        <v>1</v>
      </c>
      <c r="E178" s="1">
        <v>1</v>
      </c>
      <c r="F178" s="3">
        <v>954.87900000000002</v>
      </c>
      <c r="G178" s="3">
        <v>-4.5121000000000001E-2</v>
      </c>
      <c r="H178" s="3" t="s">
        <v>180</v>
      </c>
      <c r="I178" s="4">
        <v>38383</v>
      </c>
      <c r="J178" s="5">
        <v>285.68</v>
      </c>
      <c r="K178" s="1">
        <v>2005</v>
      </c>
      <c r="L178" s="1">
        <v>1</v>
      </c>
      <c r="M178" s="1">
        <v>1</v>
      </c>
      <c r="N178" s="3">
        <v>285.68</v>
      </c>
      <c r="O178" s="3">
        <v>6.16349100130314E-3</v>
      </c>
      <c r="P178" s="3" t="s">
        <v>180</v>
      </c>
      <c r="Q178" s="4">
        <v>38383</v>
      </c>
      <c r="R178" s="5">
        <v>106.571</v>
      </c>
      <c r="S178" s="1">
        <v>2005</v>
      </c>
      <c r="T178" s="1">
        <v>1</v>
      </c>
      <c r="U178" s="1">
        <v>1</v>
      </c>
      <c r="V178" s="1">
        <v>106.571</v>
      </c>
      <c r="W178" s="1">
        <v>1.17051776187131E-2</v>
      </c>
      <c r="X178" s="3" t="s">
        <v>180</v>
      </c>
      <c r="Y178" s="4">
        <v>38383</v>
      </c>
      <c r="Z178" s="9">
        <v>1.7579</v>
      </c>
      <c r="AA178" s="1">
        <v>2005</v>
      </c>
      <c r="AB178" s="1">
        <v>1</v>
      </c>
      <c r="AC178" s="1">
        <v>1</v>
      </c>
      <c r="AD178" s="3">
        <v>1.7579</v>
      </c>
      <c r="AE178" s="1">
        <v>-2.3768534458821499E-2</v>
      </c>
      <c r="AF178" s="1" t="s">
        <v>180</v>
      </c>
    </row>
    <row r="179" spans="1:32">
      <c r="A179" s="4">
        <v>38411</v>
      </c>
      <c r="B179" s="5">
        <v>1039.989</v>
      </c>
      <c r="C179" s="1">
        <v>2005</v>
      </c>
      <c r="D179" s="1">
        <v>2</v>
      </c>
      <c r="E179" s="1">
        <v>1</v>
      </c>
      <c r="F179" s="3">
        <v>1039.989</v>
      </c>
      <c r="G179" s="3">
        <v>8.9131711976072406E-2</v>
      </c>
      <c r="H179" s="3" t="s">
        <v>180</v>
      </c>
      <c r="I179" s="4">
        <v>38411</v>
      </c>
      <c r="J179" s="5">
        <v>304.94</v>
      </c>
      <c r="K179" s="1">
        <v>2005</v>
      </c>
      <c r="L179" s="1">
        <v>2</v>
      </c>
      <c r="M179" s="1">
        <v>1</v>
      </c>
      <c r="N179" s="3">
        <v>304.94</v>
      </c>
      <c r="O179" s="3">
        <v>6.7418090170820497E-2</v>
      </c>
      <c r="P179" s="3" t="s">
        <v>180</v>
      </c>
      <c r="Q179" s="4">
        <v>38411</v>
      </c>
      <c r="R179" s="5">
        <v>107.38200000000001</v>
      </c>
      <c r="S179" s="1">
        <v>2005</v>
      </c>
      <c r="T179" s="1">
        <v>2</v>
      </c>
      <c r="U179" s="1">
        <v>1</v>
      </c>
      <c r="V179" s="1">
        <v>107.38200000000001</v>
      </c>
      <c r="W179" s="1">
        <v>7.6099501740624301E-3</v>
      </c>
      <c r="X179" s="3" t="s">
        <v>180</v>
      </c>
      <c r="Y179" s="4">
        <v>38411</v>
      </c>
      <c r="Z179" s="9">
        <v>1.8535999999999999</v>
      </c>
      <c r="AA179" s="1">
        <v>2005</v>
      </c>
      <c r="AB179" s="1">
        <v>2</v>
      </c>
      <c r="AC179" s="1">
        <v>1</v>
      </c>
      <c r="AD179" s="3">
        <v>1.8535999999999999</v>
      </c>
      <c r="AE179" s="1">
        <v>5.4439956766596499E-2</v>
      </c>
      <c r="AF179" s="1" t="s">
        <v>180</v>
      </c>
    </row>
    <row r="180" spans="1:32">
      <c r="A180" s="4">
        <v>38442</v>
      </c>
      <c r="B180" s="5">
        <v>942.20299999999997</v>
      </c>
      <c r="C180" s="1">
        <v>2005</v>
      </c>
      <c r="D180" s="1">
        <v>3</v>
      </c>
      <c r="E180" s="1">
        <v>1</v>
      </c>
      <c r="F180" s="3">
        <v>942.20299999999997</v>
      </c>
      <c r="G180" s="3">
        <v>-9.4025994505711197E-2</v>
      </c>
      <c r="H180" s="3" t="s">
        <v>180</v>
      </c>
      <c r="I180" s="4">
        <v>38442</v>
      </c>
      <c r="J180" s="5">
        <v>316.16000000000003</v>
      </c>
      <c r="K180" s="1">
        <v>2005</v>
      </c>
      <c r="L180" s="1">
        <v>3</v>
      </c>
      <c r="M180" s="1">
        <v>1</v>
      </c>
      <c r="N180" s="3">
        <v>316.16000000000003</v>
      </c>
      <c r="O180" s="3">
        <v>3.6794123434118302E-2</v>
      </c>
      <c r="P180" s="3" t="s">
        <v>180</v>
      </c>
      <c r="Q180" s="4">
        <v>38442</v>
      </c>
      <c r="R180" s="5">
        <v>109.08199999999999</v>
      </c>
      <c r="S180" s="1">
        <v>2005</v>
      </c>
      <c r="T180" s="1">
        <v>3</v>
      </c>
      <c r="U180" s="1">
        <v>1</v>
      </c>
      <c r="V180" s="1">
        <v>109.08199999999999</v>
      </c>
      <c r="W180" s="1">
        <v>1.5831331135571999E-2</v>
      </c>
      <c r="X180" s="3" t="s">
        <v>180</v>
      </c>
      <c r="Y180" s="4">
        <v>38442</v>
      </c>
      <c r="Z180" s="9">
        <v>1.2322</v>
      </c>
      <c r="AA180" s="1">
        <v>2005</v>
      </c>
      <c r="AB180" s="1">
        <v>3</v>
      </c>
      <c r="AC180" s="1">
        <v>1</v>
      </c>
      <c r="AD180" s="3">
        <v>1.2322</v>
      </c>
      <c r="AE180" s="1">
        <v>-0.33523953388001698</v>
      </c>
      <c r="AF180" s="1" t="s">
        <v>180</v>
      </c>
    </row>
    <row r="181" spans="1:32">
      <c r="A181" s="4">
        <v>38471</v>
      </c>
      <c r="B181" s="5">
        <v>932.39499999999998</v>
      </c>
      <c r="C181" s="1">
        <v>2005</v>
      </c>
      <c r="D181" s="1">
        <v>4</v>
      </c>
      <c r="E181" s="1">
        <v>1</v>
      </c>
      <c r="F181" s="3">
        <v>932.39499999999998</v>
      </c>
      <c r="G181" s="3">
        <v>-1.04096463288697E-2</v>
      </c>
      <c r="H181" s="3" t="s">
        <v>180</v>
      </c>
      <c r="I181" s="4">
        <v>38471</v>
      </c>
      <c r="J181" s="5">
        <v>296.69</v>
      </c>
      <c r="K181" s="1">
        <v>2005</v>
      </c>
      <c r="L181" s="1">
        <v>4</v>
      </c>
      <c r="M181" s="1">
        <v>1</v>
      </c>
      <c r="N181" s="3">
        <v>296.69</v>
      </c>
      <c r="O181" s="3">
        <v>-6.1582742914979803E-2</v>
      </c>
      <c r="P181" s="3" t="s">
        <v>180</v>
      </c>
      <c r="Q181" s="4">
        <v>38471</v>
      </c>
      <c r="R181" s="5">
        <v>109.99</v>
      </c>
      <c r="S181" s="1">
        <v>2005</v>
      </c>
      <c r="T181" s="1">
        <v>4</v>
      </c>
      <c r="U181" s="1">
        <v>1</v>
      </c>
      <c r="V181" s="1">
        <v>109.99</v>
      </c>
      <c r="W181" s="1">
        <v>8.3240131277387795E-3</v>
      </c>
      <c r="X181" s="3" t="s">
        <v>180</v>
      </c>
      <c r="Y181" s="4">
        <v>38472</v>
      </c>
      <c r="Z181" s="9">
        <v>1.1645000000000001</v>
      </c>
      <c r="AA181" s="1">
        <v>2005</v>
      </c>
      <c r="AB181" s="1">
        <v>4</v>
      </c>
      <c r="AC181" s="1">
        <v>1</v>
      </c>
      <c r="AD181" s="3">
        <v>1.1645000000000001</v>
      </c>
      <c r="AE181" s="1">
        <v>-5.4942379483849897E-2</v>
      </c>
      <c r="AF181" s="1" t="s">
        <v>180</v>
      </c>
    </row>
    <row r="182" spans="1:32">
      <c r="A182" s="4">
        <v>38503</v>
      </c>
      <c r="B182" s="5">
        <v>855.94600000000003</v>
      </c>
      <c r="C182" s="1">
        <v>2005</v>
      </c>
      <c r="D182" s="1">
        <v>5</v>
      </c>
      <c r="E182" s="1">
        <v>1</v>
      </c>
      <c r="F182" s="3">
        <v>855.94600000000003</v>
      </c>
      <c r="G182" s="3">
        <v>-8.1992074174571897E-2</v>
      </c>
      <c r="H182" s="3" t="s">
        <v>180</v>
      </c>
      <c r="I182" s="4">
        <v>38503</v>
      </c>
      <c r="J182" s="5">
        <v>292.08</v>
      </c>
      <c r="K182" s="1">
        <v>2005</v>
      </c>
      <c r="L182" s="1">
        <v>5</v>
      </c>
      <c r="M182" s="1">
        <v>1</v>
      </c>
      <c r="N182" s="3">
        <v>292.08</v>
      </c>
      <c r="O182" s="3">
        <v>-1.55381037446493E-2</v>
      </c>
      <c r="P182" s="3" t="s">
        <v>180</v>
      </c>
      <c r="Q182" s="4">
        <v>38503</v>
      </c>
      <c r="R182" s="5">
        <v>111.14400000000001</v>
      </c>
      <c r="S182" s="1">
        <v>2005</v>
      </c>
      <c r="T182" s="1">
        <v>5</v>
      </c>
      <c r="U182" s="1">
        <v>1</v>
      </c>
      <c r="V182" s="1">
        <v>111.14400000000001</v>
      </c>
      <c r="W182" s="1">
        <v>1.04918628966271E-2</v>
      </c>
      <c r="X182" s="3" t="s">
        <v>180</v>
      </c>
      <c r="Y182" s="4">
        <v>38503</v>
      </c>
      <c r="Z182" s="9">
        <v>1.0903</v>
      </c>
      <c r="AA182" s="1">
        <v>2005</v>
      </c>
      <c r="AB182" s="1">
        <v>5</v>
      </c>
      <c r="AC182" s="1">
        <v>1</v>
      </c>
      <c r="AD182" s="3">
        <v>1.0903</v>
      </c>
      <c r="AE182" s="1">
        <v>-6.3718334048948097E-2</v>
      </c>
      <c r="AF182" s="1" t="s">
        <v>180</v>
      </c>
    </row>
    <row r="183" spans="1:32">
      <c r="A183" s="4">
        <v>38533</v>
      </c>
      <c r="B183" s="5">
        <v>878.68600000000004</v>
      </c>
      <c r="C183" s="1">
        <v>2005</v>
      </c>
      <c r="D183" s="1">
        <v>6</v>
      </c>
      <c r="E183" s="1">
        <v>1</v>
      </c>
      <c r="F183" s="3">
        <v>878.68600000000004</v>
      </c>
      <c r="G183" s="3">
        <v>2.6567096522444201E-2</v>
      </c>
      <c r="H183" s="3" t="s">
        <v>180</v>
      </c>
      <c r="I183" s="4">
        <v>38533</v>
      </c>
      <c r="J183" s="5">
        <v>300</v>
      </c>
      <c r="K183" s="1">
        <v>2005</v>
      </c>
      <c r="L183" s="1">
        <v>6</v>
      </c>
      <c r="M183" s="1">
        <v>1</v>
      </c>
      <c r="N183" s="3">
        <v>300</v>
      </c>
      <c r="O183" s="3">
        <v>2.7115858668857899E-2</v>
      </c>
      <c r="P183" s="3" t="s">
        <v>180</v>
      </c>
      <c r="Q183" s="4">
        <v>38533</v>
      </c>
      <c r="R183" s="5">
        <v>112.84099999999999</v>
      </c>
      <c r="S183" s="1">
        <v>2005</v>
      </c>
      <c r="T183" s="1">
        <v>6</v>
      </c>
      <c r="U183" s="1">
        <v>1</v>
      </c>
      <c r="V183" s="1">
        <v>112.84099999999999</v>
      </c>
      <c r="W183" s="1">
        <v>1.5268480529763101E-2</v>
      </c>
      <c r="X183" s="3" t="s">
        <v>180</v>
      </c>
      <c r="Y183" s="4">
        <v>38533</v>
      </c>
      <c r="Z183" s="9">
        <v>1.0837000000000001</v>
      </c>
      <c r="AA183" s="1">
        <v>2005</v>
      </c>
      <c r="AB183" s="1">
        <v>6</v>
      </c>
      <c r="AC183" s="1">
        <v>1</v>
      </c>
      <c r="AD183" s="3">
        <v>1.0837000000000001</v>
      </c>
      <c r="AE183" s="1">
        <v>-6.0533798037236903E-3</v>
      </c>
      <c r="AF183" s="1" t="s">
        <v>180</v>
      </c>
    </row>
    <row r="184" spans="1:32">
      <c r="A184" s="4">
        <v>38562</v>
      </c>
      <c r="B184" s="5">
        <v>888.16399999999999</v>
      </c>
      <c r="C184" s="1">
        <v>2005</v>
      </c>
      <c r="D184" s="1">
        <v>7</v>
      </c>
      <c r="E184" s="1">
        <v>1</v>
      </c>
      <c r="F184" s="3">
        <v>888.16399999999999</v>
      </c>
      <c r="G184" s="3">
        <v>1.07865608419845E-2</v>
      </c>
      <c r="H184" s="3" t="s">
        <v>180</v>
      </c>
      <c r="I184" s="4">
        <v>38562</v>
      </c>
      <c r="J184" s="5">
        <v>312</v>
      </c>
      <c r="K184" s="1">
        <v>2005</v>
      </c>
      <c r="L184" s="1">
        <v>7</v>
      </c>
      <c r="M184" s="1">
        <v>1</v>
      </c>
      <c r="N184" s="3">
        <v>312</v>
      </c>
      <c r="O184" s="3">
        <v>0.04</v>
      </c>
      <c r="P184" s="3" t="s">
        <v>180</v>
      </c>
      <c r="Q184" s="4">
        <v>38562</v>
      </c>
      <c r="R184" s="5">
        <v>113.922</v>
      </c>
      <c r="S184" s="1">
        <v>2005</v>
      </c>
      <c r="T184" s="1">
        <v>7</v>
      </c>
      <c r="U184" s="1">
        <v>1</v>
      </c>
      <c r="V184" s="1">
        <v>113.922</v>
      </c>
      <c r="W184" s="1">
        <v>9.5798512951852897E-3</v>
      </c>
      <c r="X184" s="3" t="s">
        <v>180</v>
      </c>
      <c r="Y184" s="4">
        <v>38562</v>
      </c>
      <c r="Z184" s="9">
        <v>1.1583000000000001</v>
      </c>
      <c r="AA184" s="1">
        <v>2005</v>
      </c>
      <c r="AB184" s="1">
        <v>7</v>
      </c>
      <c r="AC184" s="1">
        <v>1</v>
      </c>
      <c r="AD184" s="3">
        <v>1.1583000000000001</v>
      </c>
      <c r="AE184" s="1">
        <v>6.8838239365137902E-2</v>
      </c>
      <c r="AF184" s="1" t="s">
        <v>180</v>
      </c>
    </row>
    <row r="185" spans="1:32">
      <c r="A185" s="4">
        <v>38595</v>
      </c>
      <c r="B185" s="5">
        <v>927.91600000000005</v>
      </c>
      <c r="C185" s="1">
        <v>2005</v>
      </c>
      <c r="D185" s="1">
        <v>8</v>
      </c>
      <c r="E185" s="1">
        <v>1</v>
      </c>
      <c r="F185" s="3">
        <v>927.91600000000005</v>
      </c>
      <c r="G185" s="3">
        <v>4.4757499741038903E-2</v>
      </c>
      <c r="H185" s="3" t="s">
        <v>180</v>
      </c>
      <c r="I185" s="4">
        <v>38595</v>
      </c>
      <c r="J185" s="5">
        <v>329.42</v>
      </c>
      <c r="K185" s="1">
        <v>2005</v>
      </c>
      <c r="L185" s="1">
        <v>8</v>
      </c>
      <c r="M185" s="1">
        <v>1</v>
      </c>
      <c r="N185" s="3">
        <v>329.42</v>
      </c>
      <c r="O185" s="3">
        <v>5.5833333333333401E-2</v>
      </c>
      <c r="P185" s="3" t="s">
        <v>180</v>
      </c>
      <c r="Q185" s="4">
        <v>38595</v>
      </c>
      <c r="R185" s="5">
        <v>113.949</v>
      </c>
      <c r="S185" s="1">
        <v>2005</v>
      </c>
      <c r="T185" s="1">
        <v>8</v>
      </c>
      <c r="U185" s="1">
        <v>1</v>
      </c>
      <c r="V185" s="1">
        <v>113.949</v>
      </c>
      <c r="W185" s="1">
        <v>2.3700426607679799E-4</v>
      </c>
      <c r="X185" s="3" t="s">
        <v>180</v>
      </c>
      <c r="Y185" s="4">
        <v>38595</v>
      </c>
      <c r="Z185" s="9">
        <v>1.1184000000000001</v>
      </c>
      <c r="AA185" s="1">
        <v>2005</v>
      </c>
      <c r="AB185" s="1">
        <v>8</v>
      </c>
      <c r="AC185" s="1">
        <v>1</v>
      </c>
      <c r="AD185" s="3">
        <v>1.1184000000000001</v>
      </c>
      <c r="AE185" s="1">
        <v>-3.4447034447034501E-2</v>
      </c>
      <c r="AF185" s="1" t="s">
        <v>180</v>
      </c>
    </row>
    <row r="186" spans="1:32">
      <c r="A186" s="4">
        <v>38625</v>
      </c>
      <c r="B186" s="5">
        <v>917.39200000000005</v>
      </c>
      <c r="C186" s="1">
        <v>2005</v>
      </c>
      <c r="D186" s="1">
        <v>9</v>
      </c>
      <c r="E186" s="1">
        <v>1</v>
      </c>
      <c r="F186" s="3">
        <v>917.39200000000005</v>
      </c>
      <c r="G186" s="3">
        <v>-1.13415438466413E-2</v>
      </c>
      <c r="H186" s="3" t="s">
        <v>180</v>
      </c>
      <c r="I186" s="4">
        <v>38625</v>
      </c>
      <c r="J186" s="5">
        <v>332.97</v>
      </c>
      <c r="K186" s="1">
        <v>2005</v>
      </c>
      <c r="L186" s="1">
        <v>9</v>
      </c>
      <c r="M186" s="1">
        <v>1</v>
      </c>
      <c r="N186" s="3">
        <v>332.97</v>
      </c>
      <c r="O186" s="3">
        <v>1.07765163013782E-2</v>
      </c>
      <c r="P186" s="3" t="s">
        <v>180</v>
      </c>
      <c r="Q186" s="4">
        <v>38625</v>
      </c>
      <c r="R186" s="5">
        <v>114.818</v>
      </c>
      <c r="S186" s="1">
        <v>2005</v>
      </c>
      <c r="T186" s="1">
        <v>9</v>
      </c>
      <c r="U186" s="1">
        <v>1</v>
      </c>
      <c r="V186" s="1">
        <v>114.818</v>
      </c>
      <c r="W186" s="1">
        <v>7.6262187469832996E-3</v>
      </c>
      <c r="X186" s="3" t="s">
        <v>180</v>
      </c>
      <c r="Y186" s="4">
        <v>38625</v>
      </c>
      <c r="Z186" s="9">
        <v>1.1211</v>
      </c>
      <c r="AA186" s="1">
        <v>2005</v>
      </c>
      <c r="AB186" s="1">
        <v>9</v>
      </c>
      <c r="AC186" s="1">
        <v>1</v>
      </c>
      <c r="AD186" s="3">
        <v>1.1211</v>
      </c>
      <c r="AE186" s="1">
        <v>2.4141630901286901E-3</v>
      </c>
      <c r="AF186" s="1" t="s">
        <v>180</v>
      </c>
    </row>
    <row r="187" spans="1:32">
      <c r="A187" s="4">
        <v>38656</v>
      </c>
      <c r="B187" s="5">
        <v>876.28200000000004</v>
      </c>
      <c r="C187" s="1">
        <v>2005</v>
      </c>
      <c r="D187" s="1">
        <v>10</v>
      </c>
      <c r="E187" s="1">
        <v>1</v>
      </c>
      <c r="F187" s="3">
        <v>876.28200000000004</v>
      </c>
      <c r="G187" s="3">
        <v>-4.4811814360709502E-2</v>
      </c>
      <c r="H187" s="3" t="s">
        <v>180</v>
      </c>
      <c r="I187" s="4">
        <v>38656</v>
      </c>
      <c r="J187" s="5">
        <v>316.29000000000002</v>
      </c>
      <c r="K187" s="1">
        <v>2005</v>
      </c>
      <c r="L187" s="1">
        <v>10</v>
      </c>
      <c r="M187" s="1">
        <v>1</v>
      </c>
      <c r="N187" s="3">
        <v>316.29000000000002</v>
      </c>
      <c r="O187" s="3">
        <v>-5.0094603117398002E-2</v>
      </c>
      <c r="P187" s="3" t="s">
        <v>180</v>
      </c>
      <c r="Q187" s="4">
        <v>38656</v>
      </c>
      <c r="R187" s="5">
        <v>115.435</v>
      </c>
      <c r="S187" s="1">
        <v>2005</v>
      </c>
      <c r="T187" s="1">
        <v>10</v>
      </c>
      <c r="U187" s="1">
        <v>1</v>
      </c>
      <c r="V187" s="1">
        <v>115.435</v>
      </c>
      <c r="W187" s="1">
        <v>5.3737218902959903E-3</v>
      </c>
      <c r="X187" s="3" t="s">
        <v>180</v>
      </c>
      <c r="Y187" s="4">
        <v>38656</v>
      </c>
      <c r="Z187" s="9">
        <v>1.054</v>
      </c>
      <c r="AA187" s="1">
        <v>2005</v>
      </c>
      <c r="AB187" s="1">
        <v>10</v>
      </c>
      <c r="AC187" s="1">
        <v>1</v>
      </c>
      <c r="AD187" s="3">
        <v>1.054</v>
      </c>
      <c r="AE187" s="1">
        <v>-5.9851931139059802E-2</v>
      </c>
      <c r="AF187" s="1" t="s">
        <v>180</v>
      </c>
    </row>
    <row r="188" spans="1:32">
      <c r="A188" s="4">
        <v>38686</v>
      </c>
      <c r="B188" s="5">
        <v>873.82500000000005</v>
      </c>
      <c r="C188" s="1">
        <v>2005</v>
      </c>
      <c r="D188" s="1">
        <v>11</v>
      </c>
      <c r="E188" s="1">
        <v>1</v>
      </c>
      <c r="F188" s="3">
        <v>873.82500000000005</v>
      </c>
      <c r="G188" s="3">
        <v>-2.8038918978137099E-3</v>
      </c>
      <c r="H188" s="3" t="s">
        <v>180</v>
      </c>
      <c r="I188" s="4">
        <v>38686</v>
      </c>
      <c r="J188" s="5">
        <v>314.27</v>
      </c>
      <c r="K188" s="1">
        <v>2005</v>
      </c>
      <c r="L188" s="1">
        <v>11</v>
      </c>
      <c r="M188" s="1">
        <v>1</v>
      </c>
      <c r="N188" s="3">
        <v>314.27</v>
      </c>
      <c r="O188" s="3">
        <v>-6.38654399443561E-3</v>
      </c>
      <c r="P188" s="3" t="s">
        <v>180</v>
      </c>
      <c r="Q188" s="4">
        <v>38686</v>
      </c>
      <c r="R188" s="5">
        <v>114.77800000000001</v>
      </c>
      <c r="S188" s="1">
        <v>2005</v>
      </c>
      <c r="T188" s="1">
        <v>11</v>
      </c>
      <c r="U188" s="1">
        <v>1</v>
      </c>
      <c r="V188" s="1">
        <v>114.77800000000001</v>
      </c>
      <c r="W188" s="1">
        <v>-5.6915147052453499E-3</v>
      </c>
      <c r="X188" s="3" t="s">
        <v>180</v>
      </c>
      <c r="Y188" s="4">
        <v>38686</v>
      </c>
      <c r="Z188" s="9">
        <v>1.3653</v>
      </c>
      <c r="AA188" s="1">
        <v>2005</v>
      </c>
      <c r="AB188" s="1">
        <v>11</v>
      </c>
      <c r="AC188" s="1">
        <v>1</v>
      </c>
      <c r="AD188" s="3">
        <v>1.3653</v>
      </c>
      <c r="AE188" s="1">
        <v>0.29535104364326398</v>
      </c>
      <c r="AF188" s="1" t="s">
        <v>180</v>
      </c>
    </row>
    <row r="189" spans="1:32">
      <c r="A189" s="4">
        <v>38716</v>
      </c>
      <c r="B189" s="5">
        <v>923.45100000000002</v>
      </c>
      <c r="C189" s="1">
        <v>2005</v>
      </c>
      <c r="D189" s="1">
        <v>12</v>
      </c>
      <c r="E189" s="1">
        <v>-11</v>
      </c>
      <c r="F189" s="3">
        <v>923.45100000000002</v>
      </c>
      <c r="G189" s="3">
        <v>5.6791691700283198E-2</v>
      </c>
      <c r="H189" s="3" t="s">
        <v>180</v>
      </c>
      <c r="I189" s="4">
        <v>38716</v>
      </c>
      <c r="J189" s="5">
        <v>331.83</v>
      </c>
      <c r="K189" s="1">
        <v>2005</v>
      </c>
      <c r="L189" s="1">
        <v>12</v>
      </c>
      <c r="M189" s="1">
        <v>-11</v>
      </c>
      <c r="N189" s="3">
        <v>331.83</v>
      </c>
      <c r="O189" s="3">
        <v>5.58755210487797E-2</v>
      </c>
      <c r="P189" s="3" t="s">
        <v>180</v>
      </c>
      <c r="Q189" s="4">
        <v>38716</v>
      </c>
      <c r="R189" s="5">
        <v>115.724</v>
      </c>
      <c r="S189" s="1">
        <v>2005</v>
      </c>
      <c r="T189" s="1">
        <v>12</v>
      </c>
      <c r="U189" s="1">
        <v>-11</v>
      </c>
      <c r="V189" s="1">
        <v>115.724</v>
      </c>
      <c r="W189" s="1">
        <v>8.2419975953579808E-3</v>
      </c>
      <c r="X189" s="3" t="s">
        <v>180</v>
      </c>
      <c r="Y189" s="4">
        <v>38717</v>
      </c>
      <c r="Z189" s="9">
        <v>1.393</v>
      </c>
      <c r="AA189" s="1">
        <v>2005</v>
      </c>
      <c r="AB189" s="1">
        <v>12</v>
      </c>
      <c r="AC189" s="1">
        <v>-11</v>
      </c>
      <c r="AD189" s="3">
        <v>1.393</v>
      </c>
      <c r="AE189" s="1">
        <v>2.02885812641911E-2</v>
      </c>
      <c r="AF189" s="1" t="s">
        <v>180</v>
      </c>
    </row>
    <row r="190" spans="1:32">
      <c r="A190" s="4">
        <v>39752</v>
      </c>
      <c r="B190" s="5">
        <v>1663.66</v>
      </c>
      <c r="C190" s="1">
        <v>2008</v>
      </c>
      <c r="D190" s="1">
        <v>10</v>
      </c>
      <c r="E190" s="1">
        <v>1</v>
      </c>
      <c r="F190" s="3">
        <v>1663.66</v>
      </c>
      <c r="G190" s="3">
        <v>-0.25850519932413901</v>
      </c>
      <c r="H190" s="3" t="s">
        <v>180</v>
      </c>
      <c r="I190" s="4">
        <v>39752</v>
      </c>
      <c r="J190" s="5">
        <v>268.39</v>
      </c>
      <c r="K190" s="1">
        <v>2008</v>
      </c>
      <c r="L190" s="1">
        <v>10</v>
      </c>
      <c r="M190" s="1">
        <v>1</v>
      </c>
      <c r="N190" s="3">
        <v>268.39</v>
      </c>
      <c r="O190" s="3">
        <v>-0.26381764818827702</v>
      </c>
      <c r="P190" s="3" t="s">
        <v>180</v>
      </c>
      <c r="Q190" s="4">
        <v>39752</v>
      </c>
      <c r="R190" s="5">
        <v>128.63200000000001</v>
      </c>
      <c r="S190" s="1">
        <v>2008</v>
      </c>
      <c r="T190" s="1">
        <v>10</v>
      </c>
      <c r="U190" s="1">
        <v>1</v>
      </c>
      <c r="V190" s="1">
        <v>128.63200000000001</v>
      </c>
      <c r="W190" s="1">
        <v>2.9187736030211901E-2</v>
      </c>
      <c r="X190" s="3" t="s">
        <v>180</v>
      </c>
      <c r="Y190" s="4">
        <v>39752</v>
      </c>
      <c r="Z190" s="9">
        <v>2.3027000000000002</v>
      </c>
      <c r="AA190" s="1">
        <v>2008</v>
      </c>
      <c r="AB190" s="1">
        <v>10</v>
      </c>
      <c r="AC190" s="1">
        <v>1</v>
      </c>
      <c r="AD190" s="3">
        <v>2.3027000000000002</v>
      </c>
      <c r="AE190" s="1">
        <v>-0.278896439420036</v>
      </c>
      <c r="AF190" s="1" t="s">
        <v>180</v>
      </c>
    </row>
    <row r="191" spans="1:32">
      <c r="A191" s="4">
        <v>39780</v>
      </c>
      <c r="B191" s="5">
        <v>1829.924</v>
      </c>
      <c r="C191" s="1">
        <v>2008</v>
      </c>
      <c r="D191" s="1">
        <v>11</v>
      </c>
      <c r="E191" s="1">
        <v>1</v>
      </c>
      <c r="F191" s="3">
        <v>1829.924</v>
      </c>
      <c r="G191" s="3">
        <v>9.9938689395669703E-2</v>
      </c>
      <c r="H191" s="3" t="s">
        <v>180</v>
      </c>
      <c r="I191" s="4">
        <v>39780</v>
      </c>
      <c r="J191" s="5">
        <v>244.94</v>
      </c>
      <c r="K191" s="1">
        <v>2008</v>
      </c>
      <c r="L191" s="1">
        <v>11</v>
      </c>
      <c r="M191" s="1">
        <v>1</v>
      </c>
      <c r="N191" s="3">
        <v>244.94</v>
      </c>
      <c r="O191" s="3">
        <v>-8.7372852937888906E-2</v>
      </c>
      <c r="P191" s="3" t="s">
        <v>180</v>
      </c>
      <c r="Q191" s="4">
        <v>39780</v>
      </c>
      <c r="R191" s="5">
        <v>129.93</v>
      </c>
      <c r="S191" s="1">
        <v>2008</v>
      </c>
      <c r="T191" s="1">
        <v>11</v>
      </c>
      <c r="U191" s="1">
        <v>1</v>
      </c>
      <c r="V191" s="1">
        <v>129.93</v>
      </c>
      <c r="W191" s="1">
        <v>1.00908016667703E-2</v>
      </c>
      <c r="X191" s="3" t="s">
        <v>180</v>
      </c>
      <c r="Y191" s="4">
        <v>39780</v>
      </c>
      <c r="Z191" s="9">
        <v>1.6148</v>
      </c>
      <c r="AA191" s="1">
        <v>2008</v>
      </c>
      <c r="AB191" s="1">
        <v>11</v>
      </c>
      <c r="AC191" s="1">
        <v>1</v>
      </c>
      <c r="AD191" s="3">
        <v>1.6148</v>
      </c>
      <c r="AE191" s="1">
        <v>-0.29873626612237802</v>
      </c>
      <c r="AF191" s="1" t="s">
        <v>180</v>
      </c>
    </row>
    <row r="192" spans="1:32">
      <c r="A192" s="4">
        <v>39813</v>
      </c>
      <c r="B192" s="5">
        <v>1817.722</v>
      </c>
      <c r="C192" s="1">
        <v>2008</v>
      </c>
      <c r="D192" s="1">
        <v>12</v>
      </c>
      <c r="E192" s="1">
        <v>-11</v>
      </c>
      <c r="F192" s="3">
        <v>1817.722</v>
      </c>
      <c r="G192" s="3">
        <v>-6.6680364867612004E-3</v>
      </c>
      <c r="H192" s="3" t="s">
        <v>180</v>
      </c>
      <c r="I192" s="4">
        <v>39813</v>
      </c>
      <c r="J192" s="5">
        <v>229.54</v>
      </c>
      <c r="K192" s="1">
        <v>2008</v>
      </c>
      <c r="L192" s="1">
        <v>12</v>
      </c>
      <c r="M192" s="1">
        <v>-11</v>
      </c>
      <c r="N192" s="3">
        <v>229.54</v>
      </c>
      <c r="O192" s="3">
        <v>-6.2872540213930003E-2</v>
      </c>
      <c r="P192" s="3" t="s">
        <v>180</v>
      </c>
      <c r="Q192" s="4">
        <v>39813</v>
      </c>
      <c r="R192" s="5">
        <v>132.05000000000001</v>
      </c>
      <c r="S192" s="1">
        <v>2008</v>
      </c>
      <c r="T192" s="1">
        <v>12</v>
      </c>
      <c r="U192" s="1">
        <v>-11</v>
      </c>
      <c r="V192" s="1">
        <v>132.05000000000001</v>
      </c>
      <c r="W192" s="1">
        <v>1.6316478103594299E-2</v>
      </c>
      <c r="X192" s="3" t="s">
        <v>180</v>
      </c>
      <c r="Y192" s="4">
        <v>39813</v>
      </c>
      <c r="Z192" s="9">
        <v>0.95599999999999996</v>
      </c>
      <c r="AA192" s="1">
        <v>2008</v>
      </c>
      <c r="AB192" s="1">
        <v>12</v>
      </c>
      <c r="AC192" s="1">
        <v>-11</v>
      </c>
      <c r="AD192" s="3">
        <v>0.95599999999999996</v>
      </c>
      <c r="AE192" s="1">
        <v>-0.40797621996532102</v>
      </c>
      <c r="AF192" s="1" t="s">
        <v>180</v>
      </c>
    </row>
    <row r="193" spans="1:32">
      <c r="A193" s="4">
        <v>41851</v>
      </c>
      <c r="B193" s="5">
        <v>2350.2510000000002</v>
      </c>
      <c r="C193" s="1">
        <v>2014</v>
      </c>
      <c r="D193" s="1">
        <v>7</v>
      </c>
      <c r="E193" s="1">
        <v>1</v>
      </c>
      <c r="F193" s="3">
        <v>2350.2510000000002</v>
      </c>
      <c r="G193" s="3">
        <v>8.5507117856855996E-2</v>
      </c>
      <c r="H193" s="3" t="s">
        <v>180</v>
      </c>
      <c r="I193" s="4">
        <v>41851</v>
      </c>
      <c r="J193" s="5">
        <v>294.43</v>
      </c>
      <c r="K193" s="1">
        <v>2014</v>
      </c>
      <c r="L193" s="1">
        <v>7</v>
      </c>
      <c r="M193" s="1">
        <v>1</v>
      </c>
      <c r="N193" s="3">
        <v>294.43</v>
      </c>
      <c r="O193" s="3">
        <v>-4.4740769580170099E-2</v>
      </c>
      <c r="P193" s="3" t="s">
        <v>180</v>
      </c>
      <c r="Q193" s="4">
        <v>41851</v>
      </c>
      <c r="R193" s="5">
        <v>154.08510000000001</v>
      </c>
      <c r="S193" s="1">
        <v>2014</v>
      </c>
      <c r="T193" s="1">
        <v>7</v>
      </c>
      <c r="U193" s="1">
        <v>1</v>
      </c>
      <c r="V193" s="1">
        <v>154.08510000000001</v>
      </c>
      <c r="W193" s="1">
        <v>-1.92573764885103E-3</v>
      </c>
      <c r="X193" s="3" t="s">
        <v>232</v>
      </c>
      <c r="Y193" s="4">
        <v>41851</v>
      </c>
      <c r="Z193" s="9">
        <v>3.2324999999999999</v>
      </c>
      <c r="AA193" s="1">
        <v>2014</v>
      </c>
      <c r="AB193" s="1">
        <v>7</v>
      </c>
      <c r="AC193" s="1">
        <v>1</v>
      </c>
      <c r="AD193" s="3">
        <v>3.2324999999999999</v>
      </c>
      <c r="AE193" s="1">
        <v>0.102640196479738</v>
      </c>
      <c r="AF193" s="1" t="s">
        <v>180</v>
      </c>
    </row>
    <row r="194" spans="1:32">
      <c r="A194" s="4">
        <v>41880</v>
      </c>
      <c r="B194" s="5">
        <v>2338.2869999999998</v>
      </c>
      <c r="C194" s="1">
        <v>2014</v>
      </c>
      <c r="D194" s="1">
        <v>8</v>
      </c>
      <c r="E194" s="1">
        <v>1</v>
      </c>
      <c r="F194" s="3">
        <v>2338.2869999999998</v>
      </c>
      <c r="G194" s="3">
        <v>-5.0905201189151298E-3</v>
      </c>
      <c r="H194" s="3" t="s">
        <v>180</v>
      </c>
      <c r="I194" s="4">
        <v>41880</v>
      </c>
      <c r="J194" s="5">
        <v>292.75</v>
      </c>
      <c r="K194" s="1">
        <v>2014</v>
      </c>
      <c r="L194" s="1">
        <v>8</v>
      </c>
      <c r="M194" s="1">
        <v>1</v>
      </c>
      <c r="N194" s="3">
        <v>292.75</v>
      </c>
      <c r="O194" s="3">
        <v>-5.7059402914105498E-3</v>
      </c>
      <c r="P194" s="3" t="s">
        <v>180</v>
      </c>
      <c r="Q194" s="4">
        <v>41880</v>
      </c>
      <c r="R194" s="5">
        <v>155.15289999999999</v>
      </c>
      <c r="S194" s="1">
        <v>2014</v>
      </c>
      <c r="T194" s="1">
        <v>8</v>
      </c>
      <c r="U194" s="1">
        <v>1</v>
      </c>
      <c r="V194" s="1">
        <v>155.15289999999999</v>
      </c>
      <c r="W194" s="1">
        <v>6.9299367687075302E-3</v>
      </c>
      <c r="X194" s="3" t="s">
        <v>232</v>
      </c>
      <c r="Y194" s="4">
        <v>41880</v>
      </c>
      <c r="Z194" s="9">
        <v>2.9184999999999999</v>
      </c>
      <c r="AA194" s="1">
        <v>2014</v>
      </c>
      <c r="AB194" s="1">
        <v>8</v>
      </c>
      <c r="AC194" s="1">
        <v>1</v>
      </c>
      <c r="AD194" s="3">
        <v>2.9184999999999999</v>
      </c>
      <c r="AE194" s="1">
        <v>-9.7138437741685998E-2</v>
      </c>
      <c r="AF194" s="1" t="s">
        <v>180</v>
      </c>
    </row>
    <row r="195" spans="1:32">
      <c r="A195" s="4">
        <v>41912</v>
      </c>
      <c r="B195" s="5">
        <v>2450.9879999999998</v>
      </c>
      <c r="C195" s="1">
        <v>2014</v>
      </c>
      <c r="D195" s="1">
        <v>9</v>
      </c>
      <c r="E195" s="1">
        <v>1</v>
      </c>
      <c r="F195" s="3">
        <v>2450.9879999999998</v>
      </c>
      <c r="G195" s="3">
        <v>4.8198103996643697E-2</v>
      </c>
      <c r="H195" s="3" t="s">
        <v>180</v>
      </c>
      <c r="I195" s="4">
        <v>41912</v>
      </c>
      <c r="J195" s="5">
        <v>278.55</v>
      </c>
      <c r="K195" s="1">
        <v>2014</v>
      </c>
      <c r="L195" s="1">
        <v>9</v>
      </c>
      <c r="M195" s="1">
        <v>1</v>
      </c>
      <c r="N195" s="3">
        <v>278.55</v>
      </c>
      <c r="O195" s="3">
        <v>-4.8505550811272398E-2</v>
      </c>
      <c r="P195" s="3" t="s">
        <v>180</v>
      </c>
      <c r="Q195" s="4">
        <v>41912</v>
      </c>
      <c r="R195" s="5">
        <v>156.92599999999999</v>
      </c>
      <c r="S195" s="1">
        <v>2014</v>
      </c>
      <c r="T195" s="1">
        <v>9</v>
      </c>
      <c r="U195" s="1">
        <v>1</v>
      </c>
      <c r="V195" s="1">
        <v>156.92599999999999</v>
      </c>
      <c r="W195" s="1">
        <v>1.14280815891936E-2</v>
      </c>
      <c r="X195" s="3" t="s">
        <v>232</v>
      </c>
      <c r="Y195" s="4">
        <v>41912</v>
      </c>
      <c r="Z195" s="9">
        <v>2.5303</v>
      </c>
      <c r="AA195" s="1">
        <v>2014</v>
      </c>
      <c r="AB195" s="1">
        <v>9</v>
      </c>
      <c r="AC195" s="1">
        <v>1</v>
      </c>
      <c r="AD195" s="3">
        <v>2.5303</v>
      </c>
      <c r="AE195" s="1">
        <v>-0.13301353434983701</v>
      </c>
      <c r="AF195" s="1" t="s">
        <v>180</v>
      </c>
    </row>
    <row r="196" spans="1:32">
      <c r="A196" s="4">
        <v>41943</v>
      </c>
      <c r="B196" s="5">
        <v>2508.3249999999998</v>
      </c>
      <c r="C196" s="1">
        <v>2014</v>
      </c>
      <c r="D196" s="1">
        <v>10</v>
      </c>
      <c r="E196" s="1">
        <v>1</v>
      </c>
      <c r="F196" s="3">
        <v>2508.3249999999998</v>
      </c>
      <c r="G196" s="3">
        <v>2.33934233868138E-2</v>
      </c>
      <c r="H196" s="3" t="s">
        <v>180</v>
      </c>
      <c r="I196" s="4">
        <v>41943</v>
      </c>
      <c r="J196" s="5">
        <v>271.95999999999998</v>
      </c>
      <c r="K196" s="1">
        <v>2014</v>
      </c>
      <c r="L196" s="1">
        <v>10</v>
      </c>
      <c r="M196" s="1">
        <v>1</v>
      </c>
      <c r="N196" s="3">
        <v>271.95999999999998</v>
      </c>
      <c r="O196" s="3">
        <v>-2.36582301202658E-2</v>
      </c>
      <c r="P196" s="3" t="s">
        <v>180</v>
      </c>
      <c r="Q196" s="4">
        <v>41943</v>
      </c>
      <c r="R196" s="5">
        <v>159.7927</v>
      </c>
      <c r="S196" s="1">
        <v>2014</v>
      </c>
      <c r="T196" s="1">
        <v>10</v>
      </c>
      <c r="U196" s="1">
        <v>1</v>
      </c>
      <c r="V196" s="1">
        <v>159.7927</v>
      </c>
      <c r="W196" s="1">
        <v>1.8267845991104099E-2</v>
      </c>
      <c r="X196" s="3" t="s">
        <v>232</v>
      </c>
      <c r="Y196" s="4">
        <v>41943</v>
      </c>
      <c r="Z196" s="9">
        <v>2.5783999999999998</v>
      </c>
      <c r="AA196" s="1">
        <v>2014</v>
      </c>
      <c r="AB196" s="1">
        <v>10</v>
      </c>
      <c r="AC196" s="1">
        <v>1</v>
      </c>
      <c r="AD196" s="3">
        <v>2.5783999999999998</v>
      </c>
      <c r="AE196" s="1">
        <v>1.9009603604315601E-2</v>
      </c>
      <c r="AF196" s="1" t="s">
        <v>180</v>
      </c>
    </row>
    <row r="197" spans="1:32">
      <c r="A197" s="4">
        <v>41971</v>
      </c>
      <c r="B197" s="5">
        <v>2808.819</v>
      </c>
      <c r="C197" s="1">
        <v>2014</v>
      </c>
      <c r="D197" s="1">
        <v>11</v>
      </c>
      <c r="E197" s="1">
        <v>1</v>
      </c>
      <c r="F197" s="3">
        <v>2808.819</v>
      </c>
      <c r="G197" s="3">
        <v>0.11979867042747699</v>
      </c>
      <c r="H197" s="3" t="s">
        <v>180</v>
      </c>
      <c r="I197" s="4">
        <v>41971</v>
      </c>
      <c r="J197" s="5">
        <v>254.37</v>
      </c>
      <c r="K197" s="1">
        <v>2014</v>
      </c>
      <c r="L197" s="1">
        <v>11</v>
      </c>
      <c r="M197" s="1">
        <v>1</v>
      </c>
      <c r="N197" s="3">
        <v>254.37</v>
      </c>
      <c r="O197" s="3">
        <v>-6.4678629210177904E-2</v>
      </c>
      <c r="P197" s="3" t="s">
        <v>180</v>
      </c>
      <c r="Q197" s="4">
        <v>41971</v>
      </c>
      <c r="R197" s="5">
        <v>161.84780000000001</v>
      </c>
      <c r="S197" s="1">
        <v>2014</v>
      </c>
      <c r="T197" s="1">
        <v>11</v>
      </c>
      <c r="U197" s="1">
        <v>1</v>
      </c>
      <c r="V197" s="1">
        <v>161.84780000000001</v>
      </c>
      <c r="W197" s="1">
        <v>1.2861038082465699E-2</v>
      </c>
      <c r="X197" s="3" t="s">
        <v>232</v>
      </c>
      <c r="Y197" s="4">
        <v>41971</v>
      </c>
      <c r="Z197" s="9">
        <v>2.7252999999999998</v>
      </c>
      <c r="AA197" s="1">
        <v>2014</v>
      </c>
      <c r="AB197" s="1">
        <v>11</v>
      </c>
      <c r="AC197" s="1">
        <v>1</v>
      </c>
      <c r="AD197" s="3">
        <v>2.7252999999999998</v>
      </c>
      <c r="AE197" s="1">
        <v>5.6973316785603502E-2</v>
      </c>
      <c r="AF197" s="1" t="s">
        <v>180</v>
      </c>
    </row>
    <row r="198" spans="1:32">
      <c r="A198" s="4">
        <v>42004</v>
      </c>
      <c r="B198" s="5">
        <v>3533.7049999999999</v>
      </c>
      <c r="C198" s="1">
        <v>2014</v>
      </c>
      <c r="D198" s="1">
        <v>12</v>
      </c>
      <c r="E198" s="1">
        <v>-11</v>
      </c>
      <c r="F198" s="3">
        <v>3533.7049999999999</v>
      </c>
      <c r="G198" s="3">
        <v>0.258075013021487</v>
      </c>
      <c r="H198" s="3" t="s">
        <v>180</v>
      </c>
      <c r="I198" s="4">
        <v>42004</v>
      </c>
      <c r="J198" s="5">
        <v>229.96</v>
      </c>
      <c r="K198" s="1">
        <v>2014</v>
      </c>
      <c r="L198" s="1">
        <v>12</v>
      </c>
      <c r="M198" s="1">
        <v>-11</v>
      </c>
      <c r="N198" s="3">
        <v>229.96</v>
      </c>
      <c r="O198" s="3">
        <v>-9.5962574202932693E-2</v>
      </c>
      <c r="P198" s="3" t="s">
        <v>180</v>
      </c>
      <c r="Q198" s="4">
        <v>42004</v>
      </c>
      <c r="R198" s="5">
        <v>160.97980000000001</v>
      </c>
      <c r="S198" s="1">
        <v>2014</v>
      </c>
      <c r="T198" s="1">
        <v>12</v>
      </c>
      <c r="U198" s="1">
        <v>-11</v>
      </c>
      <c r="V198" s="1">
        <v>160.97980000000001</v>
      </c>
      <c r="W198" s="1">
        <v>-5.3630633224547699E-3</v>
      </c>
      <c r="X198" s="3" t="s">
        <v>232</v>
      </c>
      <c r="Y198" s="4">
        <v>42004</v>
      </c>
      <c r="Z198" s="9">
        <v>3.7563</v>
      </c>
      <c r="AA198" s="1">
        <v>2014</v>
      </c>
      <c r="AB198" s="1">
        <v>12</v>
      </c>
      <c r="AC198" s="1">
        <v>-11</v>
      </c>
      <c r="AD198" s="3">
        <v>3.7563</v>
      </c>
      <c r="AE198" s="1">
        <v>0.37830697537885699</v>
      </c>
      <c r="AF198" s="1" t="s">
        <v>180</v>
      </c>
    </row>
    <row r="199" spans="1:32">
      <c r="A199" s="4">
        <v>42034</v>
      </c>
      <c r="B199" s="5">
        <v>3434.39</v>
      </c>
      <c r="C199" s="1">
        <v>2015</v>
      </c>
      <c r="D199" s="1">
        <v>1</v>
      </c>
      <c r="E199" s="1">
        <v>1</v>
      </c>
      <c r="F199" s="3">
        <v>3434.39</v>
      </c>
      <c r="G199" s="3">
        <v>-2.8105062533516498E-2</v>
      </c>
      <c r="H199" s="3" t="s">
        <v>180</v>
      </c>
      <c r="I199" s="4">
        <v>42034</v>
      </c>
      <c r="J199" s="5">
        <v>218.84</v>
      </c>
      <c r="K199" s="1">
        <v>2015</v>
      </c>
      <c r="L199" s="1">
        <v>1</v>
      </c>
      <c r="M199" s="1">
        <v>1</v>
      </c>
      <c r="N199" s="3">
        <v>218.84</v>
      </c>
      <c r="O199" s="3">
        <v>-4.83562358671073E-2</v>
      </c>
      <c r="P199" s="3" t="s">
        <v>180</v>
      </c>
      <c r="Q199" s="4">
        <v>42034</v>
      </c>
      <c r="R199" s="5">
        <v>162.70779999999999</v>
      </c>
      <c r="S199" s="1">
        <v>2015</v>
      </c>
      <c r="T199" s="1">
        <v>1</v>
      </c>
      <c r="U199" s="1">
        <v>1</v>
      </c>
      <c r="V199" s="1">
        <v>162.70779999999999</v>
      </c>
      <c r="W199" s="1">
        <v>1.07342660383475E-2</v>
      </c>
      <c r="X199" s="3" t="s">
        <v>232</v>
      </c>
      <c r="Y199" s="4">
        <v>42034</v>
      </c>
      <c r="Z199" s="9">
        <v>2.8639000000000001</v>
      </c>
      <c r="AA199" s="1">
        <v>2015</v>
      </c>
      <c r="AB199" s="1">
        <v>1</v>
      </c>
      <c r="AC199" s="1">
        <v>1</v>
      </c>
      <c r="AD199" s="3">
        <v>2.8639000000000001</v>
      </c>
      <c r="AE199" s="1">
        <v>-0.23757420866278001</v>
      </c>
      <c r="AF199" s="1" t="s">
        <v>180</v>
      </c>
    </row>
    <row r="200" spans="1:32">
      <c r="A200" s="4">
        <v>42062</v>
      </c>
      <c r="B200" s="5">
        <v>3572.8429999999998</v>
      </c>
      <c r="C200" s="1">
        <v>2015</v>
      </c>
      <c r="D200" s="1">
        <v>2</v>
      </c>
      <c r="E200" s="1">
        <v>1</v>
      </c>
      <c r="F200" s="3">
        <v>3572.8429999999998</v>
      </c>
      <c r="G200" s="3">
        <v>4.0313709275883E-2</v>
      </c>
      <c r="H200" s="3" t="s">
        <v>180</v>
      </c>
      <c r="I200" s="4">
        <v>42062</v>
      </c>
      <c r="J200" s="5">
        <v>224.08</v>
      </c>
      <c r="K200" s="1">
        <v>2015</v>
      </c>
      <c r="L200" s="1">
        <v>2</v>
      </c>
      <c r="M200" s="1">
        <v>1</v>
      </c>
      <c r="N200" s="3">
        <v>224.08</v>
      </c>
      <c r="O200" s="3">
        <v>2.3944434289892201E-2</v>
      </c>
      <c r="P200" s="3" t="s">
        <v>180</v>
      </c>
      <c r="Q200" s="4">
        <v>42062</v>
      </c>
      <c r="R200" s="5">
        <v>164.1165</v>
      </c>
      <c r="S200" s="1">
        <v>2015</v>
      </c>
      <c r="T200" s="1">
        <v>2</v>
      </c>
      <c r="U200" s="1">
        <v>1</v>
      </c>
      <c r="V200" s="1">
        <v>164.1165</v>
      </c>
      <c r="W200" s="1">
        <v>8.6578516825868892E-3</v>
      </c>
      <c r="X200" s="3" t="s">
        <v>232</v>
      </c>
      <c r="Y200" s="4">
        <v>42063</v>
      </c>
      <c r="Z200" s="9">
        <v>3.5232999999999999</v>
      </c>
      <c r="AA200" s="1">
        <v>2015</v>
      </c>
      <c r="AB200" s="1">
        <v>2</v>
      </c>
      <c r="AC200" s="1">
        <v>1</v>
      </c>
      <c r="AD200" s="3">
        <v>3.5232999999999999</v>
      </c>
      <c r="AE200" s="1">
        <v>0.230245469464716</v>
      </c>
      <c r="AF200" s="1" t="s">
        <v>180</v>
      </c>
    </row>
    <row r="201" spans="1:32">
      <c r="A201" s="4">
        <v>42094</v>
      </c>
      <c r="B201" s="5">
        <v>4051.2040000000002</v>
      </c>
      <c r="C201" s="1">
        <v>2015</v>
      </c>
      <c r="D201" s="1">
        <v>3</v>
      </c>
      <c r="E201" s="1">
        <v>1</v>
      </c>
      <c r="F201" s="3">
        <v>4051.2040000000002</v>
      </c>
      <c r="G201" s="3">
        <v>0.13388805497470799</v>
      </c>
      <c r="H201" s="3" t="s">
        <v>180</v>
      </c>
      <c r="I201" s="4">
        <v>42094</v>
      </c>
      <c r="J201" s="5">
        <v>211.86</v>
      </c>
      <c r="K201" s="1">
        <v>2015</v>
      </c>
      <c r="L201" s="1">
        <v>3</v>
      </c>
      <c r="M201" s="1">
        <v>1</v>
      </c>
      <c r="N201" s="3">
        <v>211.86</v>
      </c>
      <c r="O201" s="3">
        <v>-5.4534094966083503E-2</v>
      </c>
      <c r="P201" s="3" t="s">
        <v>180</v>
      </c>
      <c r="Q201" s="4">
        <v>42094</v>
      </c>
      <c r="R201" s="5">
        <v>162.17099999999999</v>
      </c>
      <c r="S201" s="1">
        <v>2015</v>
      </c>
      <c r="T201" s="1">
        <v>3</v>
      </c>
      <c r="U201" s="1">
        <v>1</v>
      </c>
      <c r="V201" s="1">
        <v>162.17099999999999</v>
      </c>
      <c r="W201" s="1">
        <v>-1.1854383928489899E-2</v>
      </c>
      <c r="X201" s="3" t="s">
        <v>232</v>
      </c>
      <c r="Y201" s="4">
        <v>42094</v>
      </c>
      <c r="Z201" s="9">
        <v>3.1635</v>
      </c>
      <c r="AA201" s="1">
        <v>2015</v>
      </c>
      <c r="AB201" s="1">
        <v>3</v>
      </c>
      <c r="AC201" s="1">
        <v>1</v>
      </c>
      <c r="AD201" s="3">
        <v>3.1635</v>
      </c>
      <c r="AE201" s="1">
        <v>-0.102120171430193</v>
      </c>
      <c r="AF201" s="1" t="s">
        <v>180</v>
      </c>
    </row>
    <row r="202" spans="1:32">
      <c r="A202" s="4">
        <v>42124</v>
      </c>
      <c r="B202" s="5">
        <v>4749.8860000000004</v>
      </c>
      <c r="C202" s="1">
        <v>2015</v>
      </c>
      <c r="D202" s="1">
        <v>4</v>
      </c>
      <c r="E202" s="1">
        <v>1</v>
      </c>
      <c r="F202" s="3">
        <v>4749.8860000000004</v>
      </c>
      <c r="G202" s="3">
        <v>0.17246280365047001</v>
      </c>
      <c r="H202" s="3" t="s">
        <v>180</v>
      </c>
      <c r="I202" s="4">
        <v>42124</v>
      </c>
      <c r="J202" s="5">
        <v>229.49</v>
      </c>
      <c r="K202" s="1">
        <v>2015</v>
      </c>
      <c r="L202" s="1">
        <v>4</v>
      </c>
      <c r="M202" s="1">
        <v>1</v>
      </c>
      <c r="N202" s="3">
        <v>229.49</v>
      </c>
      <c r="O202" s="3">
        <v>8.3215330878882193E-2</v>
      </c>
      <c r="P202" s="3" t="s">
        <v>180</v>
      </c>
      <c r="Q202" s="4">
        <v>42124</v>
      </c>
      <c r="R202" s="5">
        <v>164.62309999999999</v>
      </c>
      <c r="S202" s="1">
        <v>2015</v>
      </c>
      <c r="T202" s="1">
        <v>4</v>
      </c>
      <c r="U202" s="1">
        <v>1</v>
      </c>
      <c r="V202" s="1">
        <v>164.62309999999999</v>
      </c>
      <c r="W202" s="1">
        <v>1.51204592683032E-2</v>
      </c>
      <c r="X202" s="3" t="s">
        <v>232</v>
      </c>
      <c r="Y202" s="4">
        <v>42124</v>
      </c>
      <c r="Z202" s="9">
        <v>1.6249</v>
      </c>
      <c r="AA202" s="1">
        <v>2015</v>
      </c>
      <c r="AB202" s="1">
        <v>4</v>
      </c>
      <c r="AC202" s="1">
        <v>1</v>
      </c>
      <c r="AD202" s="3">
        <v>1.6249</v>
      </c>
      <c r="AE202" s="1">
        <v>-0.48636004425478102</v>
      </c>
      <c r="AF202" s="1" t="s">
        <v>180</v>
      </c>
    </row>
    <row r="203" spans="1:32">
      <c r="A203" s="4">
        <v>42429</v>
      </c>
      <c r="B203" s="5">
        <v>2877.4666000000002</v>
      </c>
      <c r="C203" s="1">
        <v>2016</v>
      </c>
      <c r="D203" s="1">
        <v>2</v>
      </c>
      <c r="E203" s="1">
        <v>1</v>
      </c>
      <c r="F203" s="3">
        <v>2877.4666000000002</v>
      </c>
      <c r="G203" s="3">
        <v>-2.3293108948259599E-2</v>
      </c>
      <c r="H203" s="3" t="s">
        <v>180</v>
      </c>
      <c r="I203" s="4">
        <v>42429</v>
      </c>
      <c r="J203" s="5">
        <v>163.21600000000001</v>
      </c>
      <c r="K203" s="1">
        <v>2016</v>
      </c>
      <c r="L203" s="1">
        <v>2</v>
      </c>
      <c r="M203" s="1">
        <v>1</v>
      </c>
      <c r="N203" s="3">
        <v>163.21600000000001</v>
      </c>
      <c r="O203" s="3">
        <v>-2.1211012695423598E-2</v>
      </c>
      <c r="P203" s="3" t="s">
        <v>180</v>
      </c>
      <c r="Q203" s="4">
        <v>42429</v>
      </c>
      <c r="R203" s="5">
        <v>174.977</v>
      </c>
      <c r="S203" s="1">
        <v>2016</v>
      </c>
      <c r="T203" s="1">
        <v>2</v>
      </c>
      <c r="U203" s="1">
        <v>1</v>
      </c>
      <c r="V203" s="1">
        <v>174.977</v>
      </c>
      <c r="W203" s="1">
        <v>2.9950502853179901E-3</v>
      </c>
      <c r="X203" s="3" t="s">
        <v>232</v>
      </c>
      <c r="Y203" s="4">
        <v>42429</v>
      </c>
      <c r="Z203" s="9">
        <v>2.0272000000000001</v>
      </c>
      <c r="AA203" s="1">
        <v>2016</v>
      </c>
      <c r="AB203" s="1">
        <v>2</v>
      </c>
      <c r="AC203" s="1">
        <v>1</v>
      </c>
      <c r="AD203" s="3">
        <v>2.0272000000000001</v>
      </c>
      <c r="AE203" s="1">
        <v>5.5056792817818204E-3</v>
      </c>
      <c r="AF203" s="1" t="s">
        <v>180</v>
      </c>
    </row>
    <row r="204" spans="1:32">
      <c r="A204" s="4">
        <v>42460</v>
      </c>
      <c r="B204" s="5">
        <v>3218.0879</v>
      </c>
      <c r="C204" s="1">
        <v>2016</v>
      </c>
      <c r="D204" s="1">
        <v>3</v>
      </c>
      <c r="E204" s="1">
        <v>1</v>
      </c>
      <c r="F204" s="3">
        <v>3218.0879</v>
      </c>
      <c r="G204" s="3">
        <v>0.118375413983954</v>
      </c>
      <c r="H204" s="3" t="s">
        <v>180</v>
      </c>
      <c r="I204" s="4">
        <v>42460</v>
      </c>
      <c r="J204" s="5">
        <v>170.52099999999999</v>
      </c>
      <c r="K204" s="1">
        <v>2016</v>
      </c>
      <c r="L204" s="1">
        <v>3</v>
      </c>
      <c r="M204" s="1">
        <v>1</v>
      </c>
      <c r="N204" s="3">
        <v>170.52099999999999</v>
      </c>
      <c r="O204" s="3">
        <v>4.47566415057346E-2</v>
      </c>
      <c r="P204" s="3" t="s">
        <v>180</v>
      </c>
      <c r="Q204" s="4">
        <v>42460</v>
      </c>
      <c r="R204" s="5">
        <v>176.09520000000001</v>
      </c>
      <c r="S204" s="1">
        <v>2016</v>
      </c>
      <c r="T204" s="1">
        <v>3</v>
      </c>
      <c r="U204" s="1">
        <v>1</v>
      </c>
      <c r="V204" s="1">
        <v>176.09520000000001</v>
      </c>
      <c r="W204" s="1">
        <v>6.3905541871217397E-3</v>
      </c>
      <c r="X204" s="3" t="s">
        <v>232</v>
      </c>
      <c r="Y204" s="4">
        <v>42460</v>
      </c>
      <c r="Z204" s="9">
        <v>2.2027000000000001</v>
      </c>
      <c r="AA204" s="1">
        <v>2016</v>
      </c>
      <c r="AB204" s="1">
        <v>3</v>
      </c>
      <c r="AC204" s="1">
        <v>1</v>
      </c>
      <c r="AD204" s="3">
        <v>2.2027000000000001</v>
      </c>
      <c r="AE204" s="1">
        <v>8.6572612470402502E-2</v>
      </c>
      <c r="AF204" s="1" t="s">
        <v>180</v>
      </c>
    </row>
    <row r="205" spans="1:32">
      <c r="A205" s="4">
        <v>42489</v>
      </c>
      <c r="B205" s="5">
        <v>3156.7451000000001</v>
      </c>
      <c r="C205" s="1">
        <v>2016</v>
      </c>
      <c r="D205" s="1">
        <v>4</v>
      </c>
      <c r="E205" s="1">
        <v>1</v>
      </c>
      <c r="F205" s="3">
        <v>3156.7451000000001</v>
      </c>
      <c r="G205" s="3">
        <v>-1.9061878328432199E-2</v>
      </c>
      <c r="H205" s="3" t="s">
        <v>180</v>
      </c>
      <c r="I205" s="4">
        <v>42489</v>
      </c>
      <c r="J205" s="5">
        <v>184.61099999999999</v>
      </c>
      <c r="K205" s="1">
        <v>2016</v>
      </c>
      <c r="L205" s="1">
        <v>4</v>
      </c>
      <c r="M205" s="1">
        <v>1</v>
      </c>
      <c r="N205" s="3">
        <v>184.61099999999999</v>
      </c>
      <c r="O205" s="3">
        <v>8.2629118994141507E-2</v>
      </c>
      <c r="P205" s="3" t="s">
        <v>180</v>
      </c>
      <c r="Q205" s="4">
        <v>42489</v>
      </c>
      <c r="R205" s="5">
        <v>174.88929999999999</v>
      </c>
      <c r="S205" s="1">
        <v>2016</v>
      </c>
      <c r="T205" s="1">
        <v>4</v>
      </c>
      <c r="U205" s="1">
        <v>1</v>
      </c>
      <c r="V205" s="1">
        <v>174.88929999999999</v>
      </c>
      <c r="W205" s="1">
        <v>-6.8480003997838301E-3</v>
      </c>
      <c r="X205" s="3" t="s">
        <v>232</v>
      </c>
      <c r="Y205" s="4">
        <v>42489</v>
      </c>
      <c r="Z205" s="9">
        <v>2.1034999999999999</v>
      </c>
      <c r="AA205" s="1">
        <v>2016</v>
      </c>
      <c r="AB205" s="1">
        <v>4</v>
      </c>
      <c r="AC205" s="1">
        <v>1</v>
      </c>
      <c r="AD205" s="3">
        <v>2.1034999999999999</v>
      </c>
      <c r="AE205" s="1">
        <v>-4.50356380805376E-2</v>
      </c>
      <c r="AF205" s="1" t="s">
        <v>180</v>
      </c>
    </row>
    <row r="206" spans="1:32">
      <c r="A206" s="4">
        <v>42521</v>
      </c>
      <c r="B206" s="5">
        <v>3169.5598</v>
      </c>
      <c r="C206" s="1">
        <v>2016</v>
      </c>
      <c r="D206" s="1">
        <v>5</v>
      </c>
      <c r="E206" s="1">
        <v>1</v>
      </c>
      <c r="F206" s="3">
        <v>3169.5598</v>
      </c>
      <c r="G206" s="3">
        <v>4.0594661887651002E-3</v>
      </c>
      <c r="H206" s="3" t="s">
        <v>180</v>
      </c>
      <c r="I206" s="4">
        <v>42521</v>
      </c>
      <c r="J206" s="5">
        <v>186.15299999999999</v>
      </c>
      <c r="K206" s="1">
        <v>2016</v>
      </c>
      <c r="L206" s="1">
        <v>5</v>
      </c>
      <c r="M206" s="1">
        <v>1</v>
      </c>
      <c r="N206" s="3">
        <v>186.15299999999999</v>
      </c>
      <c r="O206" s="3">
        <v>8.3526983765864499E-3</v>
      </c>
      <c r="P206" s="3" t="s">
        <v>180</v>
      </c>
      <c r="Q206" s="4">
        <v>42521</v>
      </c>
      <c r="R206" s="5">
        <v>175.63570000000001</v>
      </c>
      <c r="S206" s="1">
        <v>2016</v>
      </c>
      <c r="T206" s="1">
        <v>5</v>
      </c>
      <c r="U206" s="1">
        <v>1</v>
      </c>
      <c r="V206" s="1">
        <v>175.63570000000001</v>
      </c>
      <c r="W206" s="1">
        <v>4.2678425724159402E-3</v>
      </c>
      <c r="X206" s="3" t="s">
        <v>232</v>
      </c>
      <c r="Y206" s="4">
        <v>42521</v>
      </c>
      <c r="Z206" s="9">
        <v>2.0407999999999999</v>
      </c>
      <c r="AA206" s="1">
        <v>2016</v>
      </c>
      <c r="AB206" s="1">
        <v>5</v>
      </c>
      <c r="AC206" s="1">
        <v>1</v>
      </c>
      <c r="AD206" s="3">
        <v>2.0407999999999999</v>
      </c>
      <c r="AE206" s="1">
        <v>-2.98074637508914E-2</v>
      </c>
      <c r="AF206" s="1" t="s">
        <v>180</v>
      </c>
    </row>
    <row r="207" spans="1:32">
      <c r="A207" s="4">
        <v>42551</v>
      </c>
      <c r="B207" s="5">
        <v>3153.9209999999998</v>
      </c>
      <c r="C207" s="1">
        <v>2016</v>
      </c>
      <c r="D207" s="1">
        <v>6</v>
      </c>
      <c r="E207" s="1">
        <v>1</v>
      </c>
      <c r="F207" s="3">
        <v>3153.9209999999998</v>
      </c>
      <c r="G207" s="3">
        <v>-4.9340605594506096E-3</v>
      </c>
      <c r="H207" s="3" t="s">
        <v>180</v>
      </c>
      <c r="I207" s="4">
        <v>42551</v>
      </c>
      <c r="J207" s="5">
        <v>192.57400000000001</v>
      </c>
      <c r="K207" s="1">
        <v>2016</v>
      </c>
      <c r="L207" s="1">
        <v>6</v>
      </c>
      <c r="M207" s="1">
        <v>1</v>
      </c>
      <c r="N207" s="3">
        <v>192.57400000000001</v>
      </c>
      <c r="O207" s="3">
        <v>3.4493131993575302E-2</v>
      </c>
      <c r="P207" s="3" t="s">
        <v>180</v>
      </c>
      <c r="Q207" s="4">
        <v>42551</v>
      </c>
      <c r="R207" s="5">
        <v>176.8417</v>
      </c>
      <c r="S207" s="1">
        <v>2016</v>
      </c>
      <c r="T207" s="1">
        <v>6</v>
      </c>
      <c r="U207" s="1">
        <v>1</v>
      </c>
      <c r="V207" s="1">
        <v>176.8417</v>
      </c>
      <c r="W207" s="1">
        <v>6.8664855721245104E-3</v>
      </c>
      <c r="X207" s="3" t="s">
        <v>232</v>
      </c>
      <c r="Y207" s="4">
        <v>42551</v>
      </c>
      <c r="Z207" s="9">
        <v>2.1164000000000001</v>
      </c>
      <c r="AA207" s="1">
        <v>2016</v>
      </c>
      <c r="AB207" s="1">
        <v>6</v>
      </c>
      <c r="AC207" s="1">
        <v>1</v>
      </c>
      <c r="AD207" s="3">
        <v>2.1164000000000001</v>
      </c>
      <c r="AE207" s="1">
        <v>3.7044296354370898E-2</v>
      </c>
      <c r="AF207" s="1" t="s">
        <v>180</v>
      </c>
    </row>
    <row r="208" spans="1:32">
      <c r="A208" s="4">
        <v>42580</v>
      </c>
      <c r="B208" s="5">
        <v>3203.9304000000002</v>
      </c>
      <c r="C208" s="1">
        <v>2016</v>
      </c>
      <c r="D208" s="1">
        <v>7</v>
      </c>
      <c r="E208" s="1">
        <v>1</v>
      </c>
      <c r="F208" s="3">
        <v>3203.9304000000002</v>
      </c>
      <c r="G208" s="3">
        <v>1.5856262728204201E-2</v>
      </c>
      <c r="H208" s="3" t="s">
        <v>180</v>
      </c>
      <c r="I208" s="4">
        <v>42580</v>
      </c>
      <c r="J208" s="5">
        <v>181.01400000000001</v>
      </c>
      <c r="K208" s="1">
        <v>2016</v>
      </c>
      <c r="L208" s="1">
        <v>7</v>
      </c>
      <c r="M208" s="1">
        <v>1</v>
      </c>
      <c r="N208" s="3">
        <v>181.01400000000001</v>
      </c>
      <c r="O208" s="3">
        <v>-6.0028872018029401E-2</v>
      </c>
      <c r="P208" s="3" t="s">
        <v>180</v>
      </c>
      <c r="Q208" s="4">
        <v>42580</v>
      </c>
      <c r="R208" s="5">
        <v>178.3314</v>
      </c>
      <c r="S208" s="1">
        <v>2016</v>
      </c>
      <c r="T208" s="1">
        <v>7</v>
      </c>
      <c r="U208" s="1">
        <v>1</v>
      </c>
      <c r="V208" s="1">
        <v>178.3314</v>
      </c>
      <c r="W208" s="1">
        <v>8.4239181143361506E-3</v>
      </c>
      <c r="X208" s="3" t="s">
        <v>232</v>
      </c>
      <c r="Y208" s="4">
        <v>42580</v>
      </c>
      <c r="Z208" s="9">
        <v>2.0367999999999999</v>
      </c>
      <c r="AA208" s="1">
        <v>2016</v>
      </c>
      <c r="AB208" s="1">
        <v>7</v>
      </c>
      <c r="AC208" s="1">
        <v>1</v>
      </c>
      <c r="AD208" s="3">
        <v>2.0367999999999999</v>
      </c>
      <c r="AE208" s="1">
        <v>-3.76110376110377E-2</v>
      </c>
      <c r="AF208" s="1" t="s">
        <v>180</v>
      </c>
    </row>
    <row r="209" spans="1:32">
      <c r="A209" s="4">
        <v>43251</v>
      </c>
      <c r="B209" s="5">
        <v>3802.3759</v>
      </c>
      <c r="C209" s="1">
        <v>2018</v>
      </c>
      <c r="D209" s="1">
        <v>5</v>
      </c>
      <c r="E209" s="1">
        <v>1</v>
      </c>
      <c r="F209" s="3">
        <v>3802.3759</v>
      </c>
      <c r="G209" s="3">
        <v>1.2110965053016801E-2</v>
      </c>
      <c r="H209" s="3" t="s">
        <v>180</v>
      </c>
      <c r="I209" s="4">
        <v>43251</v>
      </c>
      <c r="J209" s="5">
        <v>202.84</v>
      </c>
      <c r="K209" s="1">
        <v>2018</v>
      </c>
      <c r="L209" s="1">
        <v>5</v>
      </c>
      <c r="M209" s="1">
        <v>1</v>
      </c>
      <c r="N209" s="3">
        <v>202.84</v>
      </c>
      <c r="O209" s="3">
        <v>7.1999602760813202E-3</v>
      </c>
      <c r="P209" s="3" t="s">
        <v>180</v>
      </c>
      <c r="Q209" s="4">
        <v>43251</v>
      </c>
      <c r="R209" s="5">
        <v>183.50020000000001</v>
      </c>
      <c r="S209" s="1">
        <v>2018</v>
      </c>
      <c r="T209" s="1">
        <v>5</v>
      </c>
      <c r="U209" s="1">
        <v>1</v>
      </c>
      <c r="V209" s="1">
        <v>183.50020000000001</v>
      </c>
      <c r="W209" s="1">
        <v>1.6337255985097001E-3</v>
      </c>
      <c r="X209" s="3" t="s">
        <v>232</v>
      </c>
      <c r="Y209" s="4">
        <v>43251</v>
      </c>
      <c r="Z209" s="9">
        <v>3.3536999999999999</v>
      </c>
      <c r="AA209" s="1">
        <v>2018</v>
      </c>
      <c r="AB209" s="1">
        <v>5</v>
      </c>
      <c r="AC209" s="1">
        <v>1</v>
      </c>
      <c r="AD209" s="3">
        <v>3.3536999999999999</v>
      </c>
      <c r="AE209" s="1">
        <v>0.19732238486254899</v>
      </c>
      <c r="AF209" s="1" t="s">
        <v>180</v>
      </c>
    </row>
    <row r="210" spans="1:32">
      <c r="A210" s="4">
        <v>43280</v>
      </c>
      <c r="B210" s="5">
        <v>3510.9845</v>
      </c>
      <c r="C210" s="1">
        <v>2018</v>
      </c>
      <c r="D210" s="1">
        <v>6</v>
      </c>
      <c r="E210" s="1">
        <v>1</v>
      </c>
      <c r="F210" s="3">
        <v>3510.9845</v>
      </c>
      <c r="G210" s="3">
        <v>-7.6634032947663105E-2</v>
      </c>
      <c r="H210" s="3" t="s">
        <v>180</v>
      </c>
      <c r="I210" s="4">
        <v>43280</v>
      </c>
      <c r="J210" s="5">
        <v>200.39</v>
      </c>
      <c r="K210" s="1">
        <v>2018</v>
      </c>
      <c r="L210" s="1">
        <v>6</v>
      </c>
      <c r="M210" s="1">
        <v>1</v>
      </c>
      <c r="N210" s="3">
        <v>200.39</v>
      </c>
      <c r="O210" s="3">
        <v>-1.2078485505817501E-2</v>
      </c>
      <c r="P210" s="3" t="s">
        <v>180</v>
      </c>
      <c r="Q210" s="4">
        <v>43280</v>
      </c>
      <c r="R210" s="5">
        <v>184.6328</v>
      </c>
      <c r="S210" s="1">
        <v>2018</v>
      </c>
      <c r="T210" s="1">
        <v>6</v>
      </c>
      <c r="U210" s="1">
        <v>1</v>
      </c>
      <c r="V210" s="1">
        <v>184.6328</v>
      </c>
      <c r="W210" s="1">
        <v>6.1722003572748001E-3</v>
      </c>
      <c r="X210" s="3" t="s">
        <v>232</v>
      </c>
      <c r="Y210" s="4">
        <v>43280</v>
      </c>
      <c r="Z210" s="9">
        <v>3.1562000000000001</v>
      </c>
      <c r="AA210" s="1">
        <v>2018</v>
      </c>
      <c r="AB210" s="1">
        <v>6</v>
      </c>
      <c r="AC210" s="1">
        <v>1</v>
      </c>
      <c r="AD210" s="3">
        <v>3.1562000000000001</v>
      </c>
      <c r="AE210" s="1">
        <v>-5.8890180994125803E-2</v>
      </c>
      <c r="AF210" s="1" t="s">
        <v>180</v>
      </c>
    </row>
    <row r="211" spans="1:32">
      <c r="A211" s="4">
        <v>43312</v>
      </c>
      <c r="B211" s="5">
        <v>3517.6568000000002</v>
      </c>
      <c r="C211" s="1">
        <v>2018</v>
      </c>
      <c r="D211" s="1">
        <v>7</v>
      </c>
      <c r="E211" s="1">
        <v>1</v>
      </c>
      <c r="F211" s="3">
        <v>3517.6568000000002</v>
      </c>
      <c r="G211" s="3">
        <v>1.90040713651689E-3</v>
      </c>
      <c r="H211" s="3" t="s">
        <v>180</v>
      </c>
      <c r="I211" s="4">
        <v>43312</v>
      </c>
      <c r="J211" s="5">
        <v>194.53</v>
      </c>
      <c r="K211" s="1">
        <v>2018</v>
      </c>
      <c r="L211" s="1">
        <v>7</v>
      </c>
      <c r="M211" s="1">
        <v>1</v>
      </c>
      <c r="N211" s="3">
        <v>194.53</v>
      </c>
      <c r="O211" s="3">
        <v>-2.92429761964169E-2</v>
      </c>
      <c r="P211" s="3" t="s">
        <v>180</v>
      </c>
      <c r="Q211" s="4">
        <v>43312</v>
      </c>
      <c r="R211" s="5">
        <v>186.65979999999999</v>
      </c>
      <c r="S211" s="1">
        <v>2018</v>
      </c>
      <c r="T211" s="1">
        <v>7</v>
      </c>
      <c r="U211" s="1">
        <v>1</v>
      </c>
      <c r="V211" s="1">
        <v>186.65979999999999</v>
      </c>
      <c r="W211" s="1">
        <v>1.09785476903345E-2</v>
      </c>
      <c r="X211" s="3" t="s">
        <v>232</v>
      </c>
      <c r="Y211" s="4">
        <v>43312</v>
      </c>
      <c r="Z211" s="9">
        <v>2.1073</v>
      </c>
      <c r="AA211" s="1">
        <v>2018</v>
      </c>
      <c r="AB211" s="1">
        <v>7</v>
      </c>
      <c r="AC211" s="1">
        <v>1</v>
      </c>
      <c r="AD211" s="3">
        <v>2.1073</v>
      </c>
      <c r="AE211" s="1">
        <v>-0.33233001710918197</v>
      </c>
      <c r="AF211" s="1" t="s">
        <v>180</v>
      </c>
    </row>
    <row r="212" spans="1:32">
      <c r="A212" s="4">
        <v>43343</v>
      </c>
      <c r="B212" s="5">
        <v>3334.5036</v>
      </c>
      <c r="C212" s="1">
        <v>2018</v>
      </c>
      <c r="D212" s="1">
        <v>8</v>
      </c>
      <c r="E212" s="1">
        <v>1</v>
      </c>
      <c r="F212" s="3">
        <v>3334.5036</v>
      </c>
      <c r="G212" s="3">
        <v>-5.2066819025665102E-2</v>
      </c>
      <c r="H212" s="3" t="s">
        <v>180</v>
      </c>
      <c r="I212" s="4">
        <v>43343</v>
      </c>
      <c r="J212" s="5">
        <v>192.96</v>
      </c>
      <c r="K212" s="1">
        <v>2018</v>
      </c>
      <c r="L212" s="1">
        <v>8</v>
      </c>
      <c r="M212" s="1">
        <v>1</v>
      </c>
      <c r="N212" s="3">
        <v>192.96</v>
      </c>
      <c r="O212" s="3">
        <v>-8.0707345910656092E-3</v>
      </c>
      <c r="P212" s="3" t="s">
        <v>180</v>
      </c>
      <c r="Q212" s="4">
        <v>43343</v>
      </c>
      <c r="R212" s="5">
        <v>186.76169999999999</v>
      </c>
      <c r="S212" s="1">
        <v>2018</v>
      </c>
      <c r="T212" s="1">
        <v>8</v>
      </c>
      <c r="U212" s="1">
        <v>1</v>
      </c>
      <c r="V212" s="1">
        <v>186.76169999999999</v>
      </c>
      <c r="W212" s="1">
        <v>5.4591293894025699E-4</v>
      </c>
      <c r="X212" s="3" t="s">
        <v>232</v>
      </c>
      <c r="Y212" s="4">
        <v>43343</v>
      </c>
      <c r="Z212" s="9">
        <v>2.3199000000000001</v>
      </c>
      <c r="AA212" s="1">
        <v>2018</v>
      </c>
      <c r="AB212" s="1">
        <v>8</v>
      </c>
      <c r="AC212" s="1">
        <v>1</v>
      </c>
      <c r="AD212" s="3">
        <v>2.3199000000000001</v>
      </c>
      <c r="AE212" s="1">
        <v>0.100887391448773</v>
      </c>
      <c r="AF212" s="1" t="s">
        <v>180</v>
      </c>
    </row>
    <row r="213" spans="1:32">
      <c r="A213" s="4">
        <v>43371</v>
      </c>
      <c r="B213" s="5">
        <v>3438.8649</v>
      </c>
      <c r="C213" s="1">
        <v>2018</v>
      </c>
      <c r="D213" s="1">
        <v>9</v>
      </c>
      <c r="E213" s="1">
        <v>1</v>
      </c>
      <c r="F213" s="3">
        <v>3438.8649</v>
      </c>
      <c r="G213" s="3">
        <v>3.1297402108067897E-2</v>
      </c>
      <c r="H213" s="3" t="s">
        <v>180</v>
      </c>
      <c r="I213" s="4">
        <v>43371</v>
      </c>
      <c r="J213" s="5">
        <v>195.16</v>
      </c>
      <c r="K213" s="1">
        <v>2018</v>
      </c>
      <c r="L213" s="1">
        <v>9</v>
      </c>
      <c r="M213" s="1">
        <v>1</v>
      </c>
      <c r="N213" s="3">
        <v>195.16</v>
      </c>
      <c r="O213" s="3">
        <v>1.14013266998341E-2</v>
      </c>
      <c r="P213" s="3" t="s">
        <v>180</v>
      </c>
      <c r="Q213" s="4">
        <v>43371</v>
      </c>
      <c r="R213" s="5">
        <v>187.31360000000001</v>
      </c>
      <c r="S213" s="1">
        <v>2018</v>
      </c>
      <c r="T213" s="1">
        <v>9</v>
      </c>
      <c r="U213" s="1">
        <v>1</v>
      </c>
      <c r="V213" s="1">
        <v>187.31360000000001</v>
      </c>
      <c r="W213" s="1">
        <v>2.9551026789754898E-3</v>
      </c>
      <c r="X213" s="3" t="s">
        <v>232</v>
      </c>
      <c r="Y213" s="4">
        <v>43373</v>
      </c>
      <c r="Z213" s="9">
        <v>2.6970000000000001</v>
      </c>
      <c r="AA213" s="1">
        <v>2018</v>
      </c>
      <c r="AB213" s="1">
        <v>9</v>
      </c>
      <c r="AC213" s="1">
        <v>1</v>
      </c>
      <c r="AD213" s="3">
        <v>2.6970000000000001</v>
      </c>
      <c r="AE213" s="1">
        <v>0.162550109918531</v>
      </c>
      <c r="AF213" s="1" t="s">
        <v>180</v>
      </c>
    </row>
    <row r="214" spans="1:32">
      <c r="A214" s="4">
        <v>43404</v>
      </c>
      <c r="B214" s="5">
        <v>3153.8234000000002</v>
      </c>
      <c r="C214" s="1">
        <v>2018</v>
      </c>
      <c r="D214" s="1">
        <v>10</v>
      </c>
      <c r="E214" s="1">
        <v>1</v>
      </c>
      <c r="F214" s="3">
        <v>3153.8234000000002</v>
      </c>
      <c r="G214" s="3">
        <v>-8.28882518763676E-2</v>
      </c>
      <c r="H214" s="3" t="s">
        <v>180</v>
      </c>
      <c r="I214" s="4">
        <v>43404</v>
      </c>
      <c r="J214" s="5">
        <v>190.97</v>
      </c>
      <c r="K214" s="1">
        <v>2018</v>
      </c>
      <c r="L214" s="1">
        <v>10</v>
      </c>
      <c r="M214" s="1">
        <v>1</v>
      </c>
      <c r="N214" s="3">
        <v>190.97</v>
      </c>
      <c r="O214" s="3">
        <v>-2.1469563435130099E-2</v>
      </c>
      <c r="P214" s="3" t="s">
        <v>180</v>
      </c>
      <c r="Q214" s="4">
        <v>43404</v>
      </c>
      <c r="R214" s="5">
        <v>189.03290000000001</v>
      </c>
      <c r="S214" s="1">
        <v>2018</v>
      </c>
      <c r="T214" s="1">
        <v>10</v>
      </c>
      <c r="U214" s="1">
        <v>1</v>
      </c>
      <c r="V214" s="1">
        <v>189.03290000000001</v>
      </c>
      <c r="W214" s="1">
        <v>9.1787248763571007E-3</v>
      </c>
      <c r="X214" s="3" t="s">
        <v>232</v>
      </c>
      <c r="Y214" s="4">
        <v>43404</v>
      </c>
      <c r="Z214" s="9">
        <v>2.5388999999999999</v>
      </c>
      <c r="AA214" s="1">
        <v>2018</v>
      </c>
      <c r="AB214" s="1">
        <v>10</v>
      </c>
      <c r="AC214" s="1">
        <v>1</v>
      </c>
      <c r="AD214" s="3">
        <v>2.5388999999999999</v>
      </c>
      <c r="AE214" s="1">
        <v>-5.8620689655172503E-2</v>
      </c>
      <c r="AF214" s="1" t="s">
        <v>180</v>
      </c>
    </row>
    <row r="215" spans="1:32">
      <c r="A215" s="4">
        <v>43434</v>
      </c>
      <c r="B215" s="5">
        <v>3172.69</v>
      </c>
      <c r="C215" s="1">
        <v>2018</v>
      </c>
      <c r="D215" s="1">
        <v>11</v>
      </c>
      <c r="E215" s="1">
        <v>1</v>
      </c>
      <c r="F215" s="3">
        <v>3172.69</v>
      </c>
      <c r="G215" s="3">
        <v>5.9821358418482903E-3</v>
      </c>
      <c r="H215" s="3" t="s">
        <v>180</v>
      </c>
      <c r="I215" s="4">
        <v>43434</v>
      </c>
      <c r="J215" s="5">
        <v>181.74</v>
      </c>
      <c r="K215" s="1">
        <v>2018</v>
      </c>
      <c r="L215" s="1">
        <v>11</v>
      </c>
      <c r="M215" s="1">
        <v>1</v>
      </c>
      <c r="N215" s="3">
        <v>181.74</v>
      </c>
      <c r="O215" s="3">
        <v>-4.83321987746766E-2</v>
      </c>
      <c r="P215" s="3" t="s">
        <v>180</v>
      </c>
      <c r="Q215" s="4">
        <v>43434</v>
      </c>
      <c r="R215" s="5">
        <v>190.8417</v>
      </c>
      <c r="S215" s="1">
        <v>2018</v>
      </c>
      <c r="T215" s="1">
        <v>11</v>
      </c>
      <c r="U215" s="1">
        <v>1</v>
      </c>
      <c r="V215" s="1">
        <v>190.8417</v>
      </c>
      <c r="W215" s="1">
        <v>9.5687047069583694E-3</v>
      </c>
      <c r="X215" s="3" t="s">
        <v>232</v>
      </c>
      <c r="Y215" s="4">
        <v>43434</v>
      </c>
      <c r="Z215" s="9">
        <v>2.7181000000000002</v>
      </c>
      <c r="AA215" s="1">
        <v>2018</v>
      </c>
      <c r="AB215" s="1">
        <v>11</v>
      </c>
      <c r="AC215" s="1">
        <v>1</v>
      </c>
      <c r="AD215" s="3">
        <v>2.7181000000000002</v>
      </c>
      <c r="AE215" s="1">
        <v>7.0581748001102895E-2</v>
      </c>
      <c r="AF215" s="1" t="s">
        <v>180</v>
      </c>
    </row>
    <row r="216" spans="1:32">
      <c r="A216" s="4">
        <v>43462</v>
      </c>
      <c r="B216" s="5">
        <v>3010.6536000000001</v>
      </c>
      <c r="C216" s="1">
        <v>2018</v>
      </c>
      <c r="D216" s="1">
        <v>12</v>
      </c>
      <c r="E216" s="1">
        <v>-11</v>
      </c>
      <c r="F216" s="3">
        <v>3010.6536000000001</v>
      </c>
      <c r="G216" s="3">
        <v>-5.1072244688261402E-2</v>
      </c>
      <c r="H216" s="3" t="s">
        <v>180</v>
      </c>
      <c r="I216" s="4">
        <v>43462</v>
      </c>
      <c r="J216" s="5">
        <v>170.97</v>
      </c>
      <c r="K216" s="1">
        <v>2018</v>
      </c>
      <c r="L216" s="1">
        <v>12</v>
      </c>
      <c r="M216" s="1">
        <v>-11</v>
      </c>
      <c r="N216" s="3">
        <v>170.97</v>
      </c>
      <c r="O216" s="3">
        <v>-5.92604820072632E-2</v>
      </c>
      <c r="P216" s="3" t="s">
        <v>180</v>
      </c>
      <c r="Q216" s="4">
        <v>43462</v>
      </c>
      <c r="R216" s="5">
        <v>192.27619999999999</v>
      </c>
      <c r="S216" s="1">
        <v>2018</v>
      </c>
      <c r="T216" s="1">
        <v>12</v>
      </c>
      <c r="U216" s="1">
        <v>-11</v>
      </c>
      <c r="V216" s="1">
        <v>192.27619999999999</v>
      </c>
      <c r="W216" s="1">
        <v>7.5167010145056603E-3</v>
      </c>
      <c r="X216" s="3" t="s">
        <v>232</v>
      </c>
      <c r="Y216" s="4">
        <v>43463</v>
      </c>
      <c r="Z216" s="9">
        <v>2.5263</v>
      </c>
      <c r="AA216" s="1">
        <v>2018</v>
      </c>
      <c r="AB216" s="1">
        <v>12</v>
      </c>
      <c r="AC216" s="1">
        <v>-11</v>
      </c>
      <c r="AD216" s="3">
        <v>2.5263</v>
      </c>
      <c r="AE216" s="1">
        <v>-7.0563996909606005E-2</v>
      </c>
      <c r="AF216" s="1" t="s">
        <v>180</v>
      </c>
    </row>
    <row r="217" spans="1:32">
      <c r="A217" s="4">
        <v>43677</v>
      </c>
      <c r="B217" s="5">
        <v>3835.3589000000002</v>
      </c>
      <c r="C217" s="1">
        <v>2019</v>
      </c>
      <c r="D217" s="1">
        <v>7</v>
      </c>
      <c r="E217" s="1">
        <v>1</v>
      </c>
      <c r="F217" s="3">
        <v>3835.3589000000002</v>
      </c>
      <c r="G217" s="3">
        <v>2.5542744770195198E-3</v>
      </c>
      <c r="H217" s="3" t="s">
        <v>180</v>
      </c>
      <c r="I217" s="4">
        <v>43677</v>
      </c>
      <c r="J217" s="5">
        <v>178.53</v>
      </c>
      <c r="K217" s="1">
        <v>2019</v>
      </c>
      <c r="L217" s="1">
        <v>7</v>
      </c>
      <c r="M217" s="1">
        <v>1</v>
      </c>
      <c r="N217" s="3">
        <v>178.53</v>
      </c>
      <c r="O217" s="3">
        <v>-1.38643393725143E-2</v>
      </c>
      <c r="P217" s="3" t="s">
        <v>180</v>
      </c>
      <c r="Q217" s="4">
        <v>43677</v>
      </c>
      <c r="R217" s="5">
        <v>197.07419999999999</v>
      </c>
      <c r="S217" s="1">
        <v>2019</v>
      </c>
      <c r="T217" s="1">
        <v>7</v>
      </c>
      <c r="U217" s="1">
        <v>1</v>
      </c>
      <c r="V217" s="1">
        <v>197.07419999999999</v>
      </c>
      <c r="W217" s="1">
        <v>6.1782633979375603E-3</v>
      </c>
      <c r="X217" s="3" t="s">
        <v>232</v>
      </c>
      <c r="Y217" s="4">
        <v>43677</v>
      </c>
      <c r="Z217" s="9">
        <v>2.7464</v>
      </c>
      <c r="AA217" s="1">
        <v>2019</v>
      </c>
      <c r="AB217" s="1">
        <v>7</v>
      </c>
      <c r="AC217" s="1">
        <v>1</v>
      </c>
      <c r="AD217" s="3">
        <v>2.7464</v>
      </c>
      <c r="AE217" s="1">
        <v>0.77416020671834596</v>
      </c>
      <c r="AF217" s="1" t="s">
        <v>180</v>
      </c>
    </row>
    <row r="218" spans="1:32">
      <c r="A218" s="4">
        <v>43707</v>
      </c>
      <c r="B218" s="5">
        <v>3799.5862999999999</v>
      </c>
      <c r="C218" s="1">
        <v>2019</v>
      </c>
      <c r="D218" s="1">
        <v>8</v>
      </c>
      <c r="E218" s="1">
        <v>1</v>
      </c>
      <c r="F218" s="3">
        <v>3799.5862999999999</v>
      </c>
      <c r="G218" s="3">
        <v>-9.3270541121980109E-3</v>
      </c>
      <c r="H218" s="3" t="s">
        <v>180</v>
      </c>
      <c r="I218" s="4">
        <v>43707</v>
      </c>
      <c r="J218" s="5">
        <v>170.36</v>
      </c>
      <c r="K218" s="1">
        <v>2019</v>
      </c>
      <c r="L218" s="1">
        <v>8</v>
      </c>
      <c r="M218" s="1">
        <v>1</v>
      </c>
      <c r="N218" s="3">
        <v>170.36</v>
      </c>
      <c r="O218" s="3">
        <v>-4.5762616927126999E-2</v>
      </c>
      <c r="P218" s="3" t="s">
        <v>180</v>
      </c>
      <c r="Q218" s="4">
        <v>43707</v>
      </c>
      <c r="R218" s="5">
        <v>198.28049999999999</v>
      </c>
      <c r="S218" s="1">
        <v>2019</v>
      </c>
      <c r="T218" s="1">
        <v>8</v>
      </c>
      <c r="U218" s="1">
        <v>1</v>
      </c>
      <c r="V218" s="1">
        <v>198.28049999999999</v>
      </c>
      <c r="W218" s="1">
        <v>6.1210447638503597E-3</v>
      </c>
      <c r="X218" s="3" t="s">
        <v>232</v>
      </c>
      <c r="Y218" s="4">
        <v>43707</v>
      </c>
      <c r="Z218" s="9">
        <v>2.6362999999999999</v>
      </c>
      <c r="AA218" s="1">
        <v>2019</v>
      </c>
      <c r="AB218" s="1">
        <v>8</v>
      </c>
      <c r="AC218" s="1">
        <v>1</v>
      </c>
      <c r="AD218" s="3">
        <v>2.6362999999999999</v>
      </c>
      <c r="AE218" s="1">
        <v>-4.0088843577046299E-2</v>
      </c>
      <c r="AF218" s="1" t="s">
        <v>180</v>
      </c>
    </row>
    <row r="219" spans="1:32">
      <c r="A219" s="4">
        <v>43738</v>
      </c>
      <c r="B219" s="5">
        <v>3814.5282000000002</v>
      </c>
      <c r="C219" s="1">
        <v>2019</v>
      </c>
      <c r="D219" s="1">
        <v>9</v>
      </c>
      <c r="E219" s="1">
        <v>1</v>
      </c>
      <c r="F219" s="3">
        <v>3814.5282000000002</v>
      </c>
      <c r="G219" s="3">
        <v>3.9325070732043298E-3</v>
      </c>
      <c r="H219" s="3" t="s">
        <v>180</v>
      </c>
      <c r="I219" s="4">
        <v>43738</v>
      </c>
      <c r="J219" s="5">
        <v>173.94</v>
      </c>
      <c r="K219" s="1">
        <v>2019</v>
      </c>
      <c r="L219" s="1">
        <v>9</v>
      </c>
      <c r="M219" s="1">
        <v>1</v>
      </c>
      <c r="N219" s="3">
        <v>173.94</v>
      </c>
      <c r="O219" s="3">
        <v>2.10143226109414E-2</v>
      </c>
      <c r="P219" s="3" t="s">
        <v>180</v>
      </c>
      <c r="Q219" s="4">
        <v>43738</v>
      </c>
      <c r="R219" s="5">
        <v>198.6018</v>
      </c>
      <c r="S219" s="1">
        <v>2019</v>
      </c>
      <c r="T219" s="1">
        <v>9</v>
      </c>
      <c r="U219" s="1">
        <v>1</v>
      </c>
      <c r="V219" s="1">
        <v>198.6018</v>
      </c>
      <c r="W219" s="1">
        <v>1.62043166120727E-3</v>
      </c>
      <c r="X219" s="3" t="s">
        <v>232</v>
      </c>
      <c r="Y219" s="4">
        <v>43738</v>
      </c>
      <c r="Z219" s="9">
        <v>2.7511999999999999</v>
      </c>
      <c r="AA219" s="1">
        <v>2019</v>
      </c>
      <c r="AB219" s="1">
        <v>9</v>
      </c>
      <c r="AC219" s="1">
        <v>1</v>
      </c>
      <c r="AD219" s="3">
        <v>2.7511999999999999</v>
      </c>
      <c r="AE219" s="1">
        <v>4.3583810643705201E-2</v>
      </c>
      <c r="AF219" s="1" t="s">
        <v>180</v>
      </c>
    </row>
    <row r="220" spans="1:32">
      <c r="A220" s="4">
        <v>43769</v>
      </c>
      <c r="B220" s="5">
        <v>3886.7519000000002</v>
      </c>
      <c r="C220" s="1">
        <v>2019</v>
      </c>
      <c r="D220" s="1">
        <v>10</v>
      </c>
      <c r="E220" s="1">
        <v>1</v>
      </c>
      <c r="F220" s="3">
        <v>3886.7519000000002</v>
      </c>
      <c r="G220" s="3">
        <v>1.8933848752252E-2</v>
      </c>
      <c r="H220" s="3" t="s">
        <v>180</v>
      </c>
      <c r="I220" s="4">
        <v>43769</v>
      </c>
      <c r="J220" s="5">
        <v>176.89</v>
      </c>
      <c r="K220" s="1">
        <v>2019</v>
      </c>
      <c r="L220" s="1">
        <v>10</v>
      </c>
      <c r="M220" s="1">
        <v>1</v>
      </c>
      <c r="N220" s="3">
        <v>176.89</v>
      </c>
      <c r="O220" s="3">
        <v>1.6959871219960801E-2</v>
      </c>
      <c r="P220" s="3" t="s">
        <v>180</v>
      </c>
      <c r="Q220" s="4">
        <v>43769</v>
      </c>
      <c r="R220" s="5">
        <v>198.3801</v>
      </c>
      <c r="S220" s="1">
        <v>2019</v>
      </c>
      <c r="T220" s="1">
        <v>10</v>
      </c>
      <c r="U220" s="1">
        <v>1</v>
      </c>
      <c r="V220" s="1">
        <v>198.3801</v>
      </c>
      <c r="W220" s="1">
        <v>-1.11630408183611E-3</v>
      </c>
      <c r="X220" s="3" t="s">
        <v>232</v>
      </c>
      <c r="Y220" s="4">
        <v>43769</v>
      </c>
      <c r="Z220" s="9">
        <v>2.6715</v>
      </c>
      <c r="AA220" s="1">
        <v>2019</v>
      </c>
      <c r="AB220" s="1">
        <v>10</v>
      </c>
      <c r="AC220" s="1">
        <v>1</v>
      </c>
      <c r="AD220" s="3">
        <v>2.6715</v>
      </c>
      <c r="AE220" s="1">
        <v>-2.8969177086362301E-2</v>
      </c>
      <c r="AF220" s="1" t="s">
        <v>180</v>
      </c>
    </row>
    <row r="221" spans="1:32">
      <c r="A221" s="4">
        <v>43798</v>
      </c>
      <c r="B221" s="5">
        <v>3828.6705999999999</v>
      </c>
      <c r="C221" s="1">
        <v>2019</v>
      </c>
      <c r="D221" s="1">
        <v>11</v>
      </c>
      <c r="E221" s="1">
        <v>1</v>
      </c>
      <c r="F221" s="3">
        <v>3828.6705999999999</v>
      </c>
      <c r="G221" s="3">
        <v>-1.49434029993014E-2</v>
      </c>
      <c r="H221" s="3" t="s">
        <v>180</v>
      </c>
      <c r="I221" s="4">
        <v>43798</v>
      </c>
      <c r="J221" s="5">
        <v>176.66</v>
      </c>
      <c r="K221" s="1">
        <v>2019</v>
      </c>
      <c r="L221" s="1">
        <v>11</v>
      </c>
      <c r="M221" s="1">
        <v>1</v>
      </c>
      <c r="N221" s="3">
        <v>176.66</v>
      </c>
      <c r="O221" s="3">
        <v>-1.3002430889252599E-3</v>
      </c>
      <c r="P221" s="3" t="s">
        <v>180</v>
      </c>
      <c r="Q221" s="4">
        <v>43798</v>
      </c>
      <c r="R221" s="5">
        <v>199.85650000000001</v>
      </c>
      <c r="S221" s="1">
        <v>2019</v>
      </c>
      <c r="T221" s="1">
        <v>11</v>
      </c>
      <c r="U221" s="1">
        <v>1</v>
      </c>
      <c r="V221" s="1">
        <v>199.85650000000001</v>
      </c>
      <c r="W221" s="1">
        <v>7.4422787366273798E-3</v>
      </c>
      <c r="X221" s="3" t="s">
        <v>232</v>
      </c>
      <c r="Y221" s="4">
        <v>43798</v>
      </c>
      <c r="Z221" s="9">
        <v>2.4380999999999999</v>
      </c>
      <c r="AA221" s="1">
        <v>2019</v>
      </c>
      <c r="AB221" s="1">
        <v>11</v>
      </c>
      <c r="AC221" s="1">
        <v>1</v>
      </c>
      <c r="AD221" s="3">
        <v>2.4380999999999999</v>
      </c>
      <c r="AE221" s="1">
        <v>-8.7366647950589599E-2</v>
      </c>
      <c r="AF221" s="1" t="s">
        <v>180</v>
      </c>
    </row>
    <row r="222" spans="1:32">
      <c r="A222" s="4">
        <v>43830</v>
      </c>
      <c r="B222" s="5">
        <v>4096.5820999999996</v>
      </c>
      <c r="C222" s="1">
        <v>2019</v>
      </c>
      <c r="D222" s="1">
        <v>12</v>
      </c>
      <c r="E222" s="1">
        <v>-11</v>
      </c>
      <c r="F222" s="3">
        <v>4096.5820999999996</v>
      </c>
      <c r="G222" s="3">
        <v>6.9975071765118593E-2</v>
      </c>
      <c r="H222" s="3" t="s">
        <v>180</v>
      </c>
      <c r="I222" s="4">
        <v>43830</v>
      </c>
      <c r="J222" s="5">
        <v>185.79</v>
      </c>
      <c r="K222" s="1">
        <v>2019</v>
      </c>
      <c r="L222" s="1">
        <v>12</v>
      </c>
      <c r="M222" s="1">
        <v>-11</v>
      </c>
      <c r="N222" s="3">
        <v>185.79</v>
      </c>
      <c r="O222" s="3">
        <v>5.1681195516811898E-2</v>
      </c>
      <c r="P222" s="3" t="s">
        <v>180</v>
      </c>
      <c r="Q222" s="4">
        <v>43830</v>
      </c>
      <c r="R222" s="5">
        <v>201.1902</v>
      </c>
      <c r="S222" s="1">
        <v>2019</v>
      </c>
      <c r="T222" s="1">
        <v>12</v>
      </c>
      <c r="U222" s="1">
        <v>-11</v>
      </c>
      <c r="V222" s="1">
        <v>201.1902</v>
      </c>
      <c r="W222" s="1">
        <v>6.6732880842003796E-3</v>
      </c>
      <c r="X222" s="3" t="s">
        <v>232</v>
      </c>
      <c r="Y222" s="4">
        <v>43830</v>
      </c>
      <c r="Z222" s="9">
        <v>2.3090999999999999</v>
      </c>
      <c r="AA222" s="1">
        <v>2019</v>
      </c>
      <c r="AB222" s="1">
        <v>12</v>
      </c>
      <c r="AC222" s="1">
        <v>-11</v>
      </c>
      <c r="AD222" s="3">
        <v>2.3090999999999999</v>
      </c>
      <c r="AE222" s="1">
        <v>-5.29100529100529E-2</v>
      </c>
      <c r="AF222" s="1" t="s">
        <v>180</v>
      </c>
    </row>
    <row r="223" spans="1:32">
      <c r="A223" s="4">
        <v>43853</v>
      </c>
      <c r="B223" s="5">
        <v>4003.9013</v>
      </c>
      <c r="C223" s="1">
        <v>2020</v>
      </c>
      <c r="D223" s="1">
        <v>1</v>
      </c>
      <c r="E223" s="1">
        <v>1</v>
      </c>
      <c r="F223" s="3">
        <v>4003.9013</v>
      </c>
      <c r="G223" s="3">
        <v>-2.2623933254016699E-2</v>
      </c>
      <c r="H223" s="3" t="s">
        <v>180</v>
      </c>
      <c r="I223" s="4">
        <v>43853</v>
      </c>
      <c r="J223" s="5">
        <v>178.53</v>
      </c>
      <c r="K223" s="1">
        <v>2020</v>
      </c>
      <c r="L223" s="1">
        <v>1</v>
      </c>
      <c r="M223" s="1">
        <v>1</v>
      </c>
      <c r="N223" s="3">
        <v>178.53</v>
      </c>
      <c r="O223" s="3">
        <v>-3.9076376554174001E-2</v>
      </c>
      <c r="P223" s="3" t="s">
        <v>180</v>
      </c>
      <c r="Q223" s="4">
        <v>43853</v>
      </c>
      <c r="R223" s="5">
        <v>202.40430000000001</v>
      </c>
      <c r="S223" s="1">
        <v>2020</v>
      </c>
      <c r="T223" s="1">
        <v>1</v>
      </c>
      <c r="U223" s="1">
        <v>1</v>
      </c>
      <c r="V223" s="1">
        <v>202.40430000000001</v>
      </c>
      <c r="W223" s="1">
        <v>6.0345881658251804E-3</v>
      </c>
      <c r="X223" s="3" t="s">
        <v>232</v>
      </c>
      <c r="Y223" s="4">
        <v>43853</v>
      </c>
      <c r="Z223" s="9">
        <v>2.4275000000000002</v>
      </c>
      <c r="AA223" s="1">
        <v>2020</v>
      </c>
      <c r="AB223" s="1">
        <v>1</v>
      </c>
      <c r="AC223" s="1">
        <v>1</v>
      </c>
      <c r="AD223" s="3">
        <v>2.4275000000000002</v>
      </c>
      <c r="AE223" s="1">
        <v>5.1275388679572299E-2</v>
      </c>
      <c r="AF223" s="1" t="s">
        <v>180</v>
      </c>
    </row>
    <row r="224" spans="1:32">
      <c r="A224" s="4">
        <v>43889</v>
      </c>
      <c r="B224" s="5">
        <v>3940.0488</v>
      </c>
      <c r="C224" s="1">
        <v>2020</v>
      </c>
      <c r="D224" s="1">
        <v>2</v>
      </c>
      <c r="E224" s="1">
        <v>1</v>
      </c>
      <c r="F224" s="3">
        <v>3940.0488</v>
      </c>
      <c r="G224" s="3">
        <v>-1.5947570935377402E-2</v>
      </c>
      <c r="H224" s="3" t="s">
        <v>180</v>
      </c>
      <c r="I224" s="4">
        <v>43889</v>
      </c>
      <c r="J224" s="5">
        <v>159.44999999999999</v>
      </c>
      <c r="K224" s="1">
        <v>2020</v>
      </c>
      <c r="L224" s="1">
        <v>2</v>
      </c>
      <c r="M224" s="1">
        <v>1</v>
      </c>
      <c r="N224" s="3">
        <v>159.44999999999999</v>
      </c>
      <c r="O224" s="3">
        <v>-0.106872794488321</v>
      </c>
      <c r="P224" s="3" t="s">
        <v>180</v>
      </c>
      <c r="Q224" s="4">
        <v>43889</v>
      </c>
      <c r="R224" s="5">
        <v>204.90819999999999</v>
      </c>
      <c r="S224" s="1">
        <v>2020</v>
      </c>
      <c r="T224" s="1">
        <v>2</v>
      </c>
      <c r="U224" s="1">
        <v>1</v>
      </c>
      <c r="V224" s="1">
        <v>204.90819999999999</v>
      </c>
      <c r="W224" s="1">
        <v>1.2370784612777399E-2</v>
      </c>
      <c r="X224" s="3" t="s">
        <v>232</v>
      </c>
      <c r="Y224" s="4">
        <v>43889</v>
      </c>
      <c r="Z224" s="9">
        <v>1.7108000000000001</v>
      </c>
      <c r="AA224" s="1">
        <v>2020</v>
      </c>
      <c r="AB224" s="1">
        <v>2</v>
      </c>
      <c r="AC224" s="1">
        <v>1</v>
      </c>
      <c r="AD224" s="3">
        <v>1.7108000000000001</v>
      </c>
      <c r="AE224" s="1">
        <v>-0.29524201853759002</v>
      </c>
      <c r="AF224" s="1" t="s">
        <v>180</v>
      </c>
    </row>
    <row r="225" spans="1:32">
      <c r="A225" s="4">
        <v>44407</v>
      </c>
      <c r="B225" s="5">
        <v>4811.1695</v>
      </c>
      <c r="C225" s="1">
        <v>2021</v>
      </c>
      <c r="D225" s="1">
        <v>7</v>
      </c>
      <c r="E225" s="1">
        <v>1</v>
      </c>
      <c r="F225" s="3">
        <v>4811.1695</v>
      </c>
      <c r="G225" s="3">
        <v>-7.9032974664632299E-2</v>
      </c>
      <c r="H225" s="3" t="s">
        <v>180</v>
      </c>
      <c r="I225" s="4">
        <v>44407</v>
      </c>
      <c r="J225" s="5">
        <v>218.08</v>
      </c>
      <c r="K225" s="1">
        <v>2021</v>
      </c>
      <c r="L225" s="1">
        <v>7</v>
      </c>
      <c r="M225" s="1">
        <v>1</v>
      </c>
      <c r="N225" s="3">
        <v>218.08</v>
      </c>
      <c r="O225" s="3">
        <v>2.19785369511225E-2</v>
      </c>
      <c r="P225" s="3" t="s">
        <v>180</v>
      </c>
      <c r="Q225" s="4">
        <v>44407</v>
      </c>
      <c r="R225" s="5">
        <v>214.31270000000001</v>
      </c>
      <c r="S225" s="1">
        <v>2021</v>
      </c>
      <c r="T225" s="1">
        <v>7</v>
      </c>
      <c r="U225" s="1">
        <v>1</v>
      </c>
      <c r="V225" s="1">
        <v>214.31270000000001</v>
      </c>
      <c r="W225" s="1">
        <v>1.2727572579627601E-2</v>
      </c>
      <c r="X225" s="3" t="s">
        <v>232</v>
      </c>
      <c r="Y225" s="4">
        <v>44407</v>
      </c>
      <c r="Z225" s="9">
        <v>2.2915999999999999</v>
      </c>
      <c r="AA225" s="1">
        <v>2021</v>
      </c>
      <c r="AB225" s="1">
        <v>7</v>
      </c>
      <c r="AC225" s="1">
        <v>1</v>
      </c>
      <c r="AD225" s="3">
        <v>2.2915999999999999</v>
      </c>
      <c r="AE225" s="1">
        <v>-0.37183739480825601</v>
      </c>
      <c r="AF225" s="1" t="s">
        <v>180</v>
      </c>
    </row>
    <row r="226" spans="1:32">
      <c r="A226" s="4">
        <v>44439</v>
      </c>
      <c r="B226" s="5">
        <v>4805.6099000000004</v>
      </c>
      <c r="C226" s="1">
        <v>2021</v>
      </c>
      <c r="D226" s="1">
        <v>8</v>
      </c>
      <c r="E226" s="1">
        <v>1</v>
      </c>
      <c r="F226" s="3">
        <v>4805.6099000000004</v>
      </c>
      <c r="G226" s="3">
        <v>-1.1555610335490299E-3</v>
      </c>
      <c r="H226" s="3" t="s">
        <v>180</v>
      </c>
      <c r="I226" s="4">
        <v>44438</v>
      </c>
      <c r="J226" s="5">
        <v>219.52</v>
      </c>
      <c r="K226" s="1">
        <v>2021</v>
      </c>
      <c r="L226" s="1">
        <v>8</v>
      </c>
      <c r="M226" s="1">
        <v>1</v>
      </c>
      <c r="N226" s="3">
        <v>219.52</v>
      </c>
      <c r="O226" s="3">
        <v>6.6030814380043899E-3</v>
      </c>
      <c r="P226" s="3" t="s">
        <v>180</v>
      </c>
      <c r="Q226" s="4">
        <v>44439</v>
      </c>
      <c r="R226" s="5">
        <v>214.9607</v>
      </c>
      <c r="S226" s="1">
        <v>2021</v>
      </c>
      <c r="T226" s="1">
        <v>8</v>
      </c>
      <c r="U226" s="1">
        <v>1</v>
      </c>
      <c r="V226" s="1">
        <v>214.9607</v>
      </c>
      <c r="W226" s="1">
        <v>3.0236192255521802E-3</v>
      </c>
      <c r="X226" s="3" t="s">
        <v>232</v>
      </c>
      <c r="Y226" s="4">
        <v>44439</v>
      </c>
      <c r="Z226" s="9">
        <v>2.6425000000000001</v>
      </c>
      <c r="AA226" s="1">
        <v>2021</v>
      </c>
      <c r="AB226" s="1">
        <v>8</v>
      </c>
      <c r="AC226" s="1">
        <v>1</v>
      </c>
      <c r="AD226" s="3">
        <v>2.6425000000000001</v>
      </c>
      <c r="AE226" s="1">
        <v>0.15312445452958601</v>
      </c>
      <c r="AF226" s="1" t="s">
        <v>180</v>
      </c>
    </row>
    <row r="227" spans="1:32">
      <c r="A227" s="4">
        <v>44469</v>
      </c>
      <c r="B227" s="5">
        <v>4866.3825999999999</v>
      </c>
      <c r="C227" s="1">
        <v>2021</v>
      </c>
      <c r="D227" s="1">
        <v>9</v>
      </c>
      <c r="E227" s="1">
        <v>-9</v>
      </c>
      <c r="F227" s="3">
        <v>4866.3825999999999</v>
      </c>
      <c r="G227" s="3">
        <v>1.26461991848318E-2</v>
      </c>
      <c r="H227" s="3" t="s">
        <v>180</v>
      </c>
      <c r="I227" s="4">
        <v>44469</v>
      </c>
      <c r="J227" s="5">
        <v>228.92</v>
      </c>
      <c r="K227" s="1">
        <v>2021</v>
      </c>
      <c r="L227" s="1">
        <v>9</v>
      </c>
      <c r="M227" s="1">
        <v>-9</v>
      </c>
      <c r="N227" s="3">
        <v>228.92</v>
      </c>
      <c r="O227" s="3">
        <v>4.2820699708454701E-2</v>
      </c>
      <c r="P227" s="3" t="s">
        <v>180</v>
      </c>
      <c r="Q227" s="4">
        <v>44469</v>
      </c>
      <c r="R227" s="5">
        <v>215.1157</v>
      </c>
      <c r="S227" s="1">
        <v>2021</v>
      </c>
      <c r="T227" s="1">
        <v>9</v>
      </c>
      <c r="U227" s="1">
        <v>-9</v>
      </c>
      <c r="V227" s="1">
        <v>215.1157</v>
      </c>
      <c r="W227" s="1">
        <v>7.2106203599077E-4</v>
      </c>
      <c r="X227" s="3" t="s">
        <v>232</v>
      </c>
      <c r="Y227" s="4">
        <v>44469</v>
      </c>
      <c r="Z227" s="9">
        <v>2.1983000000000001</v>
      </c>
      <c r="AA227" s="1">
        <v>2021</v>
      </c>
      <c r="AB227" s="1">
        <v>9</v>
      </c>
      <c r="AC227" s="1">
        <v>-9</v>
      </c>
      <c r="AD227" s="3">
        <v>2.1983000000000001</v>
      </c>
      <c r="AE227" s="1">
        <v>-0.16809839167455101</v>
      </c>
      <c r="AF227" s="1" t="s">
        <v>180</v>
      </c>
    </row>
  </sheetData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决策框架(修正版)</vt:lpstr>
      <vt:lpstr>策略指标</vt:lpstr>
      <vt:lpstr>计量检验(F TEST)</vt:lpstr>
      <vt:lpstr>计量检验(T TEST)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Zhuoyang Meng</cp:lastModifiedBy>
  <dcterms:created xsi:type="dcterms:W3CDTF">2021-09-01T07:52:00Z</dcterms:created>
  <dcterms:modified xsi:type="dcterms:W3CDTF">2022-05-05T22:15:11Z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